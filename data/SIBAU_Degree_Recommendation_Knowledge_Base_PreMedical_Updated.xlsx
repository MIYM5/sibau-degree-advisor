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8ec7a6dc1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_Master" sheetId="1" r:id="Re8d546f14b784331"/>
    <x:sheet xmlns:r="http://schemas.openxmlformats.org/officeDocument/2006/relationships" name="Weight_Validation" sheetId="2" r:id="Rae1e2c1b6ba5407b"/>
    <x:sheet xmlns:r="http://schemas.openxmlformats.org/officeDocument/2006/relationships" name="Scoring_Rules" sheetId="3" r:id="R45eed24f74ab47bb"/>
    <x:sheet xmlns:r="http://schemas.openxmlformats.org/officeDocument/2006/relationships" name="Sources_Notes" sheetId="4" r:id="Rec58a588205e4aa4"/>
    <x:sheet xmlns:r="http://schemas.openxmlformats.org/officeDocument/2006/relationships" name="Student_Test_Profiles" sheetId="5" r:id="Ra28ecda7b6464c28"/>
    <x:sheet xmlns:r="http://schemas.openxmlformats.org/officeDocument/2006/relationships" name="Recommendation_Test" sheetId="6" r:id="R32ed58f8c6d24563"/>
    <x:sheet xmlns:r="http://schemas.openxmlformats.org/officeDocument/2006/relationships" name="Expected_Results" sheetId="7" r:id="R1854f371bc124c07"/>
    <x:sheet xmlns:r="http://schemas.openxmlformats.org/officeDocument/2006/relationships" name="Test_Summary" sheetId="8" r:id="Rc6ef51d3f8c1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13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ef87149f34b50" /><Relationship Type="http://schemas.openxmlformats.org/officeDocument/2006/relationships/theme" Target="/xl/theme/theme1.xml" Id="R1b9efd3e69604cc6" /><Relationship Type="http://schemas.openxmlformats.org/officeDocument/2006/relationships/sharedStrings" Target="/xl/sharedStrings.xml" Id="R0bf91a69089d4f45" /><Relationship Type="http://schemas.openxmlformats.org/officeDocument/2006/relationships/worksheet" Target="/xl/worksheets/sheet1.xml" Id="Re8d546f14b784331" /><Relationship Type="http://schemas.openxmlformats.org/officeDocument/2006/relationships/worksheet" Target="/xl/worksheets/sheet2.xml" Id="Rae1e2c1b6ba5407b" /><Relationship Type="http://schemas.openxmlformats.org/officeDocument/2006/relationships/worksheet" Target="/xl/worksheets/sheet3.xml" Id="R45eed24f74ab47bb" /><Relationship Type="http://schemas.openxmlformats.org/officeDocument/2006/relationships/worksheet" Target="/xl/worksheets/sheet4.xml" Id="Rec58a588205e4aa4" /><Relationship Type="http://schemas.openxmlformats.org/officeDocument/2006/relationships/worksheet" Target="/xl/worksheets/sheet5.xml" Id="Ra28ecda7b6464c28" /><Relationship Type="http://schemas.openxmlformats.org/officeDocument/2006/relationships/worksheet" Target="/xl/worksheets/sheet6.xml" Id="R32ed58f8c6d24563" /><Relationship Type="http://schemas.openxmlformats.org/officeDocument/2006/relationships/worksheet" Target="/xl/worksheets/sheet7.xml" Id="R1854f371bc124c07" /><Relationship Type="http://schemas.openxmlformats.org/officeDocument/2006/relationships/worksheet" Target="/xl/worksheets/sheet8.xml" Id="Rc6ef51d3f8c147e7" /></Relationships>
</file>

<file path=xl/tables/table1.xml><?xml version="1.0" encoding="utf-8"?>
<x:table xmlns:x="http://schemas.openxmlformats.org/spreadsheetml/2006/main" id="1" name="ProgramMasterTable" displayName="ProgramMasterTable" ref="A1:AN15" headerRowCount="1">
  <x:tableColumns count="40">
    <x:tableColumn id="1" name="Program ID"/>
    <x:tableColumn id="2" name="Program Name"/>
    <x:tableColumn id="3" name="Category"/>
    <x:tableColumn id="4" name="Duration"/>
    <x:tableColumn id="5" name="Required Group(s)"/>
    <x:tableColumn id="6" name="Required Subject(s)"/>
    <x:tableColumn id="7" name="Minimum Subject %"/>
    <x:tableColumn id="8" name="Overall Minimum %"/>
    <x:tableColumn id="9" name="Math Weight"/>
    <x:tableColumn id="10" name="Physics Weight"/>
    <x:tableColumn id="11" name="Computer Weight"/>
    <x:tableColumn id="12" name="English Weight"/>
    <x:tableColumn id="13" name="Biology Weight"/>
    <x:tableColumn id="14" name="Chemistry Weight"/>
    <x:tableColumn id="15" name="Accounting Weight"/>
    <x:tableColumn id="16" name="Economics Weight"/>
    <x:tableColumn id="17" name="General/Other Academic Weight"/>
    <x:tableColumn id="18" name="Logical Aptitude Weight"/>
    <x:tableColumn id="19" name="Numerical Aptitude Weight"/>
    <x:tableColumn id="20" name="Verbal/Communication Aptitude Weight"/>
    <x:tableColumn id="21" name="Creative Aptitude Weight"/>
    <x:tableColumn id="22" name="Spatial/Technical Aptitude Weight"/>
    <x:tableColumn id="23" name="Leadership/Social Aptitude Weight"/>
    <x:tableColumn id="24" name="Coding Interest Weight"/>
    <x:tableColumn id="25" name="Technology Interest Weight"/>
    <x:tableColumn id="26" name="Problem Solving Interest Weight"/>
    <x:tableColumn id="27" name="Business Interest Weight"/>
    <x:tableColumn id="28" name="Agriculture Interest Weight"/>
    <x:tableColumn id="29" name="Finance Interest Weight"/>
    <x:tableColumn id="30" name="Media/Creative Interest Weight"/>
    <x:tableColumn id="31" name="Teaching Interest Weight"/>
    <x:tableColumn id="32" name="Sports/Fitness Interest Weight"/>
    <x:tableColumn id="33" name="Engineering/Hardware Interest Weight"/>
    <x:tableColumn id="34" name="Mathematics/Research Interest Weight"/>
    <x:tableColumn id="35" name="Description"/>
    <x:tableColumn id="36" name="Career Options"/>
    <x:tableColumn id="37" name="Eligibility Status Note"/>
    <x:tableColumn id="38" name="Official Source URL"/>
    <x:tableColumn id="39" name="Weights Status"/>
    <x:tableColumn id="40" name="Last Verified"/>
  </x:tableColumns>
  <x:tableStyleInfo name="TableStyleMedium2" showRowStripes="1"/>
</x:table>
</file>

<file path=xl/tables/table2.xml><?xml version="1.0" encoding="utf-8"?>
<x:table xmlns:x="http://schemas.openxmlformats.org/spreadsheetml/2006/main" id="2" name="StudentTestProfilesTable" displayName="StudentTestProfilesTable" ref="A1:AG7" headerRowCount="1">
  <x:tableColumns count="33">
    <x:tableColumn id="1" name="Test ID"/>
    <x:tableColumn id="2" name="Profile Name"/>
    <x:tableColumn id="3" name="Intermediate Group"/>
    <x:tableColumn id="4" name="Profile Purpose"/>
    <x:tableColumn id="5" name="Expected Institutional Fit"/>
    <x:tableColumn id="6" name="Mathematics"/>
    <x:tableColumn id="7" name="Physics"/>
    <x:tableColumn id="8" name="Computer Science"/>
    <x:tableColumn id="9" name="English"/>
    <x:tableColumn id="10" name="Biology"/>
    <x:tableColumn id="11" name="Chemistry"/>
    <x:tableColumn id="12" name="Accounting"/>
    <x:tableColumn id="13" name="Economics"/>
    <x:tableColumn id="14" name="General/Other"/>
    <x:tableColumn id="15" name="Coding Interest"/>
    <x:tableColumn id="16" name="Technology Interest"/>
    <x:tableColumn id="17" name="Problem Solving Interest"/>
    <x:tableColumn id="18" name="Business Interest"/>
    <x:tableColumn id="19" name="Agriculture Interest"/>
    <x:tableColumn id="20" name="Finance Interest"/>
    <x:tableColumn id="21" name="Media/Creative Interest"/>
    <x:tableColumn id="22" name="Teaching Interest"/>
    <x:tableColumn id="23" name="Sports/Fitness Interest"/>
    <x:tableColumn id="24" name="Engineering/Hardware Interest"/>
    <x:tableColumn id="25" name="Mathematics/Research Interest"/>
    <x:tableColumn id="26" name="Logical Aptitude"/>
    <x:tableColumn id="27" name="Numerical Aptitude"/>
    <x:tableColumn id="28" name="Verbal/Communication Aptitude"/>
    <x:tableColumn id="29" name="Creative Aptitude"/>
    <x:tableColumn id="30" name="Spatial/Technical Aptitude"/>
    <x:tableColumn id="31" name="Leadership/Social Aptitude"/>
    <x:tableColumn id="32" name="Calculated Academic Average"/>
    <x:tableColumn id="3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commendationTestTable" displayName="RecommendationTestTable" ref="A1:N85" headerRowCount="1">
  <x:tableColumns count="14">
    <x:tableColumn id="1" name="Test ID"/>
    <x:tableColumn id="2" name="Profile Name"/>
    <x:tableColumn id="3" name="Program ID"/>
    <x:tableColumn id="4" name="Program Name"/>
    <x:tableColumn id="5" name="Category"/>
    <x:tableColumn id="6" name="Eligibility Status"/>
    <x:tableColumn id="7" name="Eligibility Explanation"/>
    <x:tableColumn id="8" name="Academic Score"/>
    <x:tableColumn id="9" name="Interest Score"/>
    <x:tableColumn id="10" name="Aptitude Score"/>
    <x:tableColumn id="11" name="Final Score"/>
    <x:tableColumn id="12" name="Eligible Rank"/>
    <x:tableColumn id="13" name="Recommendation Band"/>
    <x:tableColumn id="14" name="Confidence/Warning"/>
  </x:tableColumns>
  <x:tableStyleInfo name="TableStyleMedium2" showRowStripes="1"/>
</x:table>
</file>

<file path=xl/tables/table4.xml><?xml version="1.0" encoding="utf-8"?>
<x:table xmlns:x="http://schemas.openxmlformats.org/spreadsheetml/2006/main" id="4" name="ExpectedResultsTable" displayName="ExpectedResultsTable" ref="A1:F7" headerRowCount="1">
  <x:tableColumns count="6">
    <x:tableColumn id="1" name="Test ID"/>
    <x:tableColumn id="2" name="Expected Top Cluster / Behaviour"/>
    <x:tableColumn id="3" name="Must-Pass Conditions"/>
    <x:tableColumn id="4" name="Institutional Fit Message"/>
    <x:tableColumn id="5" name="Manual Review Status"/>
    <x:tableColumn id="6" name="Reviewe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ccafb3ca54f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d5356137e6143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035cca1592445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1b9d3588e4a44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18.25" hidden="0" customWidth="1"/>
    <x:col min="8" max="8" width="18.1299991607666" hidden="0" customWidth="1"/>
    <x:col min="9" max="9" width="13" hidden="0" customWidth="1"/>
    <x:col min="10" max="10" width="14.380000114440918" hidden="0" customWidth="1"/>
    <x:col min="11" max="11" width="16.5" hidden="0" customWidth="1"/>
    <x:col min="12" max="12" width="14.25" hidden="0" customWidth="1"/>
    <x:col min="13" max="13" width="14.5" hidden="0" customWidth="1"/>
    <x:col min="14" max="14" width="16.6299991607666" hidden="0" customWidth="1"/>
    <x:col min="15" max="15" width="17.3799991607666" hidden="0" customWidth="1"/>
    <x:col min="16" max="16" width="16.8799991607666" hidden="0" customWidth="1"/>
    <x:col min="17" max="17" width="27.8799991607666" hidden="0" customWidth="1"/>
    <x:col min="18" max="18" width="21.1299991607666" hidden="0" customWidth="1"/>
    <x:col min="19" max="19" width="23.8799991607666" hidden="0" customWidth="1"/>
    <x:col min="20" max="20" width="33.75" hidden="0" customWidth="1"/>
    <x:col min="21" max="21" width="22.25" hidden="0" customWidth="1"/>
    <x:col min="22" max="22" width="28.8799991607666" hidden="0" customWidth="1"/>
    <x:col min="23" max="23" width="29.5" hidden="0" customWidth="1"/>
    <x:col min="24" max="24" width="20.5" hidden="0" customWidth="1"/>
    <x:col min="25" max="25" width="23.75" hidden="0" customWidth="1"/>
    <x:col min="26" max="26" width="27.5" hidden="0" customWidth="1"/>
    <x:col min="27" max="27" width="21.75" hidden="0" customWidth="1"/>
    <x:col min="28" max="28" width="23.6299991607666" hidden="0" customWidth="1"/>
    <x:col min="29" max="29" width="21.1299991607666" hidden="0" customWidth="1"/>
    <x:col min="30" max="30" width="27.1299991607666" hidden="0" customWidth="1"/>
    <x:col min="31" max="31" width="21.8799991607666" hidden="0" customWidth="1"/>
    <x:col min="32" max="32" width="26.1299991607666" hidden="0" customWidth="1"/>
    <x:col min="33" max="33" width="18" hidden="0" customWidth="1"/>
    <x:col min="34" max="34" width="18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18" hidden="0" customWidth="1"/>
    <x:col min="40" max="40" width="18" hidden="0" customWidth="1"/>
  </x:cols>
  <x:sheetData>
    <x:row r="1">
      <x:c r="A1" s="6" t="str">
        <x:v>Program ID</x:v>
      </x:c>
      <x:c r="B1" s="6" t="str">
        <x:v>Program Name</x:v>
      </x:c>
      <x:c r="C1" s="6" t="str">
        <x:v>Category</x:v>
      </x:c>
      <x:c r="D1" s="6" t="str">
        <x:v>Duration</x:v>
      </x:c>
      <x:c r="E1" s="6" t="str">
        <x:v>Required Group(s)</x:v>
      </x:c>
      <x:c r="F1" s="6" t="str">
        <x:v>Required Subject(s)</x:v>
      </x:c>
      <x:c r="G1" s="6" t="str">
        <x:v>Minimum Subject %</x:v>
      </x:c>
      <x:c r="H1" s="6" t="str">
        <x:v>Overall Minimum %</x:v>
      </x:c>
      <x:c r="I1" s="6" t="str">
        <x:v>Math Weight</x:v>
      </x:c>
      <x:c r="J1" s="6" t="str">
        <x:v>Physics Weight</x:v>
      </x:c>
      <x:c r="K1" s="6" t="str">
        <x:v>Computer Weight</x:v>
      </x:c>
      <x:c r="L1" s="6" t="str">
        <x:v>English Weight</x:v>
      </x:c>
      <x:c r="M1" s="6" t="str">
        <x:v>Biology Weight</x:v>
      </x:c>
      <x:c r="N1" s="6" t="str">
        <x:v>Chemistry Weight</x:v>
      </x:c>
      <x:c r="O1" s="6" t="str">
        <x:v>Accounting Weight</x:v>
      </x:c>
      <x:c r="P1" s="6" t="str">
        <x:v>Economics Weight</x:v>
      </x:c>
      <x:c r="Q1" s="6" t="str">
        <x:v>General/Other Academic Weight</x:v>
      </x:c>
      <x:c r="R1" s="6" t="str">
        <x:v>Logical Aptitude Weight</x:v>
      </x:c>
      <x:c r="S1" s="6" t="str">
        <x:v>Numerical Aptitude Weight</x:v>
      </x:c>
      <x:c r="T1" s="6" t="str">
        <x:v>Verbal/Communication Aptitude Weight</x:v>
      </x:c>
      <x:c r="U1" s="6" t="str">
        <x:v>Creative Aptitude Weight</x:v>
      </x:c>
      <x:c r="V1" s="6" t="str">
        <x:v>Spatial/Technical Aptitude Weight</x:v>
      </x:c>
      <x:c r="W1" s="6" t="str">
        <x:v>Leadership/Social Aptitude Weight</x:v>
      </x:c>
      <x:c r="X1" s="6" t="str">
        <x:v>Coding Interest Weight</x:v>
      </x:c>
      <x:c r="Y1" s="6" t="str">
        <x:v>Technology Interest Weight</x:v>
      </x:c>
      <x:c r="Z1" s="6" t="str">
        <x:v>Problem Solving Interest Weight</x:v>
      </x:c>
      <x:c r="AA1" s="6" t="str">
        <x:v>Business Interest Weight</x:v>
      </x:c>
      <x:c r="AB1" s="6" t="str">
        <x:v>Agriculture Interest Weight</x:v>
      </x:c>
      <x:c r="AC1" s="6" t="str">
        <x:v>Finance Interest Weight</x:v>
      </x:c>
      <x:c r="AD1" s="6" t="str">
        <x:v>Media/Creative Interest Weight</x:v>
      </x:c>
      <x:c r="AE1" s="6" t="str">
        <x:v>Teaching Interest Weight</x:v>
      </x:c>
      <x:c r="AF1" s="6" t="str">
        <x:v>Sports/Fitness Interest Weight</x:v>
      </x:c>
      <x:c r="AG1" s="6" t="str">
        <x:v>Engineering/Hardware Interest Weight</x:v>
      </x:c>
      <x:c r="AH1" s="6" t="str">
        <x:v>Mathematics/Research Interest Weight</x:v>
      </x:c>
      <x:c r="AI1" s="6" t="str">
        <x:v>Description</x:v>
      </x:c>
      <x:c r="AJ1" s="6" t="str">
        <x:v>Career Options</x:v>
      </x:c>
      <x:c r="AK1" s="6" t="str">
        <x:v>Eligibility Status Note</x:v>
      </x:c>
      <x:c r="AL1" s="6" t="str">
        <x:v>Official Source URL</x:v>
      </x:c>
      <x:c r="AM1" s="6" t="str">
        <x:v>Weights Status</x:v>
      </x:c>
      <x:c r="AN1" s="6" t="str">
        <x:v>Last Verified</x:v>
      </x:c>
    </x:row>
    <x:row r="2">
      <x:c r="A2" s="12" t="str">
        <x:v>SIBAU-BBA</x:v>
      </x:c>
      <x:c r="B2" s="12" t="str">
        <x:v>Bachelor of Business Administration (BBA)</x:v>
      </x:c>
      <x:c r="C2" s="12" t="str">
        <x:v>Business &amp; Management</x:v>
      </x:c>
      <x:c r="D2" s="12" t="str">
        <x:v>4 Years</x:v>
      </x:c>
      <x:c r="E2" s="12" t="str">
        <x:v>Any Intermediate/F.Sc group, including Pre-Medical, Pre-Engineering, ICS, Commerce, Arts/Humanities or equivalent</x:v>
      </x:c>
      <x:c r="F2" s="12" t="str">
        <x:v>None specifically required for group eligibility</x:v>
      </x:c>
      <x:c r="G2" s="14" t="n">
        <x:v>0</x:v>
      </x:c>
      <x:c r="H2" s="14" t="n">
        <x:v>50</x:v>
      </x:c>
      <x:c r="I2" s="14" t="n">
        <x:v>15</x:v>
      </x:c>
      <x:c r="J2" s="14" t="n">
        <x:v>0</x:v>
      </x:c>
      <x:c r="K2" s="14" t="n">
        <x:v>0</x:v>
      </x:c>
      <x:c r="L2" s="14" t="n">
        <x:v>20</x:v>
      </x:c>
      <x:c r="M2" s="14" t="n">
        <x:v>0</x:v>
      </x:c>
      <x:c r="N2" s="14" t="n">
        <x:v>0</x:v>
      </x:c>
      <x:c r="O2" s="14" t="n">
        <x:v>10</x:v>
      </x:c>
      <x:c r="P2" s="14" t="n">
        <x:v>15</x:v>
      </x:c>
      <x:c r="Q2" s="14" t="n">
        <x:v>40</x:v>
      </x:c>
      <x:c r="R2" s="14" t="n">
        <x:v>15</x:v>
      </x:c>
      <x:c r="S2" s="14" t="n">
        <x:v>15</x:v>
      </x:c>
      <x:c r="T2" s="14" t="n">
        <x:v>25</x:v>
      </x:c>
      <x:c r="U2" s="14" t="n">
        <x:v>10</x:v>
      </x:c>
      <x:c r="V2" s="14" t="n">
        <x:v>0</x:v>
      </x:c>
      <x:c r="W2" s="14" t="n">
        <x:v>35</x:v>
      </x:c>
      <x:c r="X2" s="14" t="n">
        <x:v>0</x:v>
      </x:c>
      <x:c r="Y2" s="14" t="n">
        <x:v>5</x:v>
      </x:c>
      <x:c r="Z2" s="14" t="n">
        <x:v>15</x:v>
      </x:c>
      <x:c r="AA2" s="14" t="n">
        <x:v>55</x:v>
      </x:c>
      <x:c r="AB2" s="14" t="n">
        <x:v>0</x:v>
      </x:c>
      <x:c r="AC2" s="14" t="n">
        <x:v>20</x:v>
      </x:c>
      <x:c r="AD2" s="14" t="n">
        <x:v>5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4" t="str">
        <x:v>Broad business degree covering management, marketing, HRM and finance.</x:v>
      </x:c>
      <x:c r="AJ2" s="12" t="str">
        <x:v>Management Trainee, Marketing Executive, HR Officer, Entrepreneur, Business Analyst</x:v>
      </x:c>
      <x:c r="AK2" s="12" t="str">
        <x:v>Official page states minimum 50% Intermediate/F.Sc; no supplementary and no condoned subject.</x:v>
      </x:c>
      <x:c r="AL2" s="12" t="str">
        <x:v>https://www.iba-suk.edu.pk/offered-programs/bba</x:v>
      </x:c>
      <x:c r="AM2" s="12" t="str">
        <x:v>Model-defined recommendation weights</x:v>
      </x:c>
      <x:c r="AN2" s="12" t="str">
        <x:v>2026-07-17</x:v>
      </x:c>
    </x:row>
    <x:row r="3">
      <x:c r="A3" s="12" t="str">
        <x:v>SIBAU-BBA-AGRI</x:v>
      </x:c>
      <x:c r="B3" s="12" t="str">
        <x:v>BBA (Agribusiness)</x:v>
      </x:c>
      <x:c r="C3" s="12" t="str">
        <x:v>Business &amp; Agriculture</x:v>
      </x:c>
      <x:c r="D3" s="12" t="str">
        <x:v>4 Years</x:v>
      </x:c>
      <x:c r="E3" s="12" t="str">
        <x:v>Any Intermediate/F.Sc group, including Pre-Medical, Pre-Engineering, ICS, Commerce, Arts/Humanities or equivalent</x:v>
      </x:c>
      <x:c r="F3" s="12" t="str">
        <x:v>None specifically required for group eligibility</x:v>
      </x:c>
      <x:c r="G3" s="14" t="n">
        <x:v>0</x:v>
      </x:c>
      <x:c r="H3" s="14" t="n">
        <x:v>50</x:v>
      </x:c>
      <x:c r="I3" s="14" t="n">
        <x:v>10</x:v>
      </x:c>
      <x:c r="J3" s="14" t="n">
        <x:v>5</x:v>
      </x:c>
      <x:c r="K3" s="14" t="n">
        <x:v>0</x:v>
      </x:c>
      <x:c r="L3" s="14" t="n">
        <x:v>15</x:v>
      </x:c>
      <x:c r="M3" s="14" t="n">
        <x:v>10</x:v>
      </x:c>
      <x:c r="N3" s="14" t="n">
        <x:v>10</x:v>
      </x:c>
      <x:c r="O3" s="14" t="n">
        <x:v>5</x:v>
      </x:c>
      <x:c r="P3" s="14" t="n">
        <x:v>10</x:v>
      </x:c>
      <x:c r="Q3" s="14" t="n">
        <x:v>35</x:v>
      </x:c>
      <x:c r="R3" s="14" t="n">
        <x:v>10</x:v>
      </x:c>
      <x:c r="S3" s="14" t="n">
        <x:v>15</x:v>
      </x:c>
      <x:c r="T3" s="14" t="n">
        <x:v>20</x:v>
      </x:c>
      <x:c r="U3" s="14" t="n">
        <x:v>5</x:v>
      </x:c>
      <x:c r="V3" s="14" t="n">
        <x:v>5</x:v>
      </x:c>
      <x:c r="W3" s="14" t="n">
        <x:v>45</x:v>
      </x:c>
      <x:c r="X3" s="14" t="n">
        <x:v>0</x:v>
      </x:c>
      <x:c r="Y3" s="14" t="n">
        <x:v>0</x:v>
      </x:c>
      <x:c r="Z3" s="14" t="n">
        <x:v>10</x:v>
      </x:c>
      <x:c r="AA3" s="14" t="n">
        <x:v>25</x:v>
      </x:c>
      <x:c r="AB3" s="14" t="n">
        <x:v>45</x:v>
      </x:c>
      <x:c r="AC3" s="14" t="n">
        <x:v>5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15</x:v>
      </x:c>
      <x:c r="AI3" s="14" t="str">
        <x:v>Hybrid agriculture and business program focused on farm management and agribusiness.</x:v>
      </x:c>
      <x:c r="AJ3" s="12" t="str">
        <x:v>Agribusiness Manager, Supply Chain Officer, Farm Manager, Agricultural Entrepreneur, Rural Finance Officer</x:v>
      </x:c>
      <x:c r="AK3" s="12" t="str">
        <x:v>Official page states diverse educational backgrounds and minimum 50% Intermediate/F.Sc.</x:v>
      </x:c>
      <x:c r="AL3" s="12" t="str">
        <x:v>https://www.iba-suk.edu.pk/offered-programs/agri-business</x:v>
      </x:c>
      <x:c r="AM3" s="12" t="str">
        <x:v>Model-defined recommendation weights</x:v>
      </x:c>
      <x:c r="AN3" s="12" t="str">
        <x:v>2026-07-17</x:v>
      </x:c>
    </x:row>
    <x:row r="4">
      <x:c r="A4" s="12" t="str">
        <x:v>SIBAU-BSCS</x:v>
      </x:c>
      <x:c r="B4" s="12" t="str">
        <x:v>BS Computer Science</x:v>
      </x:c>
      <x:c r="C4" s="12" t="str">
        <x:v>Computing</x:v>
      </x:c>
      <x:c r="D4" s="12" t="str">
        <x:v>4 Years</x:v>
      </x:c>
      <x:c r="E4" s="12" t="str">
        <x:v>Any Intermediate/F.Sc group, including Pre-Medical, Pre-Engineering, ICS, Commerce, Arts/Humanities or equivalent</x:v>
      </x:c>
      <x:c r="F4" s="12" t="str">
        <x:v>None specifically required for group eligibility</x:v>
      </x:c>
      <x:c r="G4" s="14" t="n">
        <x:v>0</x:v>
      </x:c>
      <x:c r="H4" s="14" t="n">
        <x:v>50</x:v>
      </x:c>
      <x:c r="I4" s="14" t="n">
        <x:v>35</x:v>
      </x:c>
      <x:c r="J4" s="14" t="n">
        <x:v>10</x:v>
      </x:c>
      <x:c r="K4" s="14" t="n">
        <x:v>30</x:v>
      </x:c>
      <x:c r="L4" s="14" t="n">
        <x:v>15</x:v>
      </x:c>
      <x:c r="M4" s="14" t="n">
        <x:v>0</x:v>
      </x:c>
      <x:c r="N4" s="14" t="n">
        <x:v>0</x:v>
      </x:c>
      <x:c r="O4" s="14" t="n">
        <x:v>0</x:v>
      </x:c>
      <x:c r="P4" s="14" t="n">
        <x:v>0</x:v>
      </x:c>
      <x:c r="Q4" s="14" t="n">
        <x:v>10</x:v>
      </x:c>
      <x:c r="R4" s="14" t="n">
        <x:v>35</x:v>
      </x:c>
      <x:c r="S4" s="14" t="n">
        <x:v>25</x:v>
      </x:c>
      <x:c r="T4" s="14" t="n">
        <x:v>15</x:v>
      </x:c>
      <x:c r="U4" s="14" t="n">
        <x:v>0</x:v>
      </x:c>
      <x:c r="V4" s="14" t="n">
        <x:v>10</x:v>
      </x:c>
      <x:c r="W4" s="14" t="n">
        <x:v>15</x:v>
      </x:c>
      <x:c r="X4" s="14" t="n">
        <x:v>35</x:v>
      </x:c>
      <x:c r="Y4" s="14" t="n">
        <x:v>30</x:v>
      </x:c>
      <x:c r="Z4" s="14" t="n">
        <x:v>35</x:v>
      </x:c>
      <x:c r="AA4" s="14" t="n">
        <x:v>0</x:v>
      </x:c>
      <x:c r="AB4" s="14" t="n">
        <x:v>0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4" t="str">
        <x:v>Computing degree covering programming, algorithms, databases, networks and intelligent systems.</x:v>
      </x:c>
      <x:c r="AJ4" s="12" t="str">
        <x:v>Software Developer, Data Analyst, Database Developer, Systems Analyst, Network Administrator</x:v>
      </x:c>
      <x:c r="AK4" s="12" t="str">
        <x:v>Pre-Medical and other Intermediate groups are eligible under the working SIBAU admission rule used in this model. Mathematics remains a recommendation-strength factor, not a hard eligibility condition.</x:v>
      </x:c>
      <x:c r="AL4" s="12" t="str">
        <x:v>https://www.iba-suk.edu.pk/offered-programs/computer-science</x:v>
      </x:c>
      <x:c r="AM4" s="12" t="str">
        <x:v>Model-defined recommendation weights</x:v>
      </x:c>
      <x:c r="AN4" s="12" t="str">
        <x:v>2026-07-17</x:v>
      </x:c>
    </x:row>
    <x:row r="5">
      <x:c r="A5" s="12" t="str">
        <x:v>SIBAU-BSSE</x:v>
      </x:c>
      <x:c r="B5" s="12" t="str">
        <x:v>BS Software Engineering</x:v>
      </x:c>
      <x:c r="C5" s="12" t="str">
        <x:v>Computing</x:v>
      </x:c>
      <x:c r="D5" s="12" t="str">
        <x:v>4 Years</x:v>
      </x:c>
      <x:c r="E5" s="12" t="str">
        <x:v>Any Intermediate/F.Sc group, including Pre-Medical, Pre-Engineering, ICS, Commerce, Arts/Humanities or equivalent</x:v>
      </x:c>
      <x:c r="F5" s="12" t="str">
        <x:v>None specifically required for group eligibility</x:v>
      </x:c>
      <x:c r="G5" s="14" t="n">
        <x:v>0</x:v>
      </x:c>
      <x:c r="H5" s="14" t="n">
        <x:v>50</x:v>
      </x:c>
      <x:c r="I5" s="14" t="n">
        <x:v>30</x:v>
      </x:c>
      <x:c r="J5" s="14" t="n">
        <x:v>5</x:v>
      </x:c>
      <x:c r="K5" s="14" t="n">
        <x:v>30</x:v>
      </x:c>
      <x:c r="L5" s="14" t="n">
        <x:v>20</x:v>
      </x:c>
      <x:c r="M5" s="14" t="n">
        <x:v>0</x:v>
      </x:c>
      <x:c r="N5" s="14" t="n">
        <x:v>0</x:v>
      </x:c>
      <x:c r="O5" s="14" t="n">
        <x:v>0</x:v>
      </x:c>
      <x:c r="P5" s="14" t="n">
        <x:v>0</x:v>
      </x:c>
      <x:c r="Q5" s="14" t="n">
        <x:v>15</x:v>
      </x:c>
      <x:c r="R5" s="14" t="n">
        <x:v>30</x:v>
      </x:c>
      <x:c r="S5" s="14" t="n">
        <x:v>20</x:v>
      </x:c>
      <x:c r="T5" s="14" t="n">
        <x:v>25</x:v>
      </x:c>
      <x:c r="U5" s="14" t="n">
        <x:v>5</x:v>
      </x:c>
      <x:c r="V5" s="14" t="n">
        <x:v>5</x:v>
      </x:c>
      <x:c r="W5" s="14" t="n">
        <x:v>15</x:v>
      </x:c>
      <x:c r="X5" s="14" t="n">
        <x:v>40</x:v>
      </x:c>
      <x:c r="Y5" s="14" t="n">
        <x:v>25</x:v>
      </x:c>
      <x:c r="Z5" s="14" t="n">
        <x:v>35</x:v>
      </x:c>
      <x:c r="AA5" s="14" t="n">
        <x:v>0</x:v>
      </x:c>
      <x:c r="AB5" s="14" t="n">
        <x:v>0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4" t="str">
        <x:v>Software-focused degree emphasizing requirements, design, testing, project development and quality.</x:v>
      </x:c>
      <x:c r="AJ5" s="12" t="str">
        <x:v>Software Engineer, Web/Mobile Developer, QA Engineer, Systems Analyst, Product Engineer</x:v>
      </x:c>
      <x:c r="AK5" s="12" t="str">
        <x:v>Pre-Medical and other Intermediate groups are eligible under the working SIBAU admission rule used in this model. Mathematics and computing background affect suitability scoring only.</x:v>
      </x:c>
      <x:c r="AL5" s="12" t="str">
        <x:v>https://www.iba-suk.edu.pk/offered-programs/software-engineering</x:v>
      </x:c>
      <x:c r="AM5" s="12" t="str">
        <x:v>Model-defined recommendation weights</x:v>
      </x:c>
      <x:c r="AN5" s="12" t="str">
        <x:v>2026-07-17</x:v>
      </x:c>
    </x:row>
    <x:row r="6">
      <x:c r="A6" s="12" t="str">
        <x:v>SIBAU-BSAI</x:v>
      </x:c>
      <x:c r="B6" s="12" t="str">
        <x:v>BS Artificial Intelligence</x:v>
      </x:c>
      <x:c r="C6" s="12" t="str">
        <x:v>Computing &amp; AI</x:v>
      </x:c>
      <x:c r="D6" s="12" t="str">
        <x:v>4 Years</x:v>
      </x:c>
      <x:c r="E6" s="12" t="str">
        <x:v>Any Intermediate/F.Sc group, including Pre-Medical, Pre-Engineering, ICS, Commerce, Arts/Humanities or equivalent</x:v>
      </x:c>
      <x:c r="F6" s="12" t="str">
        <x:v>None specifically required for group eligibility</x:v>
      </x:c>
      <x:c r="G6" s="14" t="n">
        <x:v>0</x:v>
      </x:c>
      <x:c r="H6" s="14" t="n">
        <x:v>50</x:v>
      </x:c>
      <x:c r="I6" s="14" t="n">
        <x:v>40</x:v>
      </x:c>
      <x:c r="J6" s="14" t="n">
        <x:v>5</x:v>
      </x:c>
      <x:c r="K6" s="14" t="n">
        <x:v>25</x:v>
      </x:c>
      <x:c r="L6" s="14" t="n">
        <x:v>10</x:v>
      </x:c>
      <x:c r="M6" s="14" t="n">
        <x:v>0</x:v>
      </x:c>
      <x:c r="N6" s="14" t="n">
        <x:v>0</x:v>
      </x:c>
      <x:c r="O6" s="14" t="n">
        <x:v>0</x:v>
      </x:c>
      <x:c r="P6" s="14" t="n">
        <x:v>5</x:v>
      </x:c>
      <x:c r="Q6" s="14" t="n">
        <x:v>15</x:v>
      </x:c>
      <x:c r="R6" s="14" t="n">
        <x:v>35</x:v>
      </x:c>
      <x:c r="S6" s="14" t="n">
        <x:v>30</x:v>
      </x:c>
      <x:c r="T6" s="14" t="n">
        <x:v>10</x:v>
      </x:c>
      <x:c r="U6" s="14" t="n">
        <x:v>0</x:v>
      </x:c>
      <x:c r="V6" s="14" t="n">
        <x:v>10</x:v>
      </x:c>
      <x:c r="W6" s="14" t="n">
        <x:v>15</x:v>
      </x:c>
      <x:c r="X6" s="14" t="n">
        <x:v>25</x:v>
      </x:c>
      <x:c r="Y6" s="14" t="n">
        <x:v>35</x:v>
      </x:c>
      <x:c r="Z6" s="14" t="n">
        <x:v>40</x:v>
      </x:c>
      <x:c r="AA6" s="14" t="n">
        <x:v>0</x:v>
      </x:c>
      <x:c r="AB6" s="14" t="n">
        <x:v>0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4" t="str">
        <x:v>Artificial intelligence degree emphasizing machine learning, data, intelligent systems and algorithms.</x:v>
      </x:c>
      <x:c r="AJ6" s="12" t="str">
        <x:v>AI Engineer, Machine Learning Engineer, Data Scientist, NLP Engineer, Computer Vision Engineer</x:v>
      </x:c>
      <x:c r="AK6" s="12" t="str">
        <x:v>Pre-Medical and other Intermediate groups are eligible under the working SIBAU admission rule used in this model. Mathematics is used as an academic-fit indicator rather than a hard eligibility condition.</x:v>
      </x:c>
      <x:c r="AL6" s="12" t="str">
        <x:v>https://www.iba-suk.edu.pk/Content/pdf/announcements/BS%20AI%20Fall%202025%20Schema.pdf</x:v>
      </x:c>
      <x:c r="AM6" s="12" t="str">
        <x:v>Model-defined recommendation weights</x:v>
      </x:c>
      <x:c r="AN6" s="12" t="str">
        <x:v>2026-07-17</x:v>
      </x:c>
    </x:row>
    <x:row r="7">
      <x:c r="A7" s="12" t="str">
        <x:v>SIBAU-BSAF</x:v>
      </x:c>
      <x:c r="B7" s="12" t="str">
        <x:v>BS Accounting &amp; Finance</x:v>
      </x:c>
      <x:c r="C7" s="12" t="str">
        <x:v>Business &amp; Finance</x:v>
      </x:c>
      <x:c r="D7" s="12" t="str">
        <x:v>4 Years</x:v>
      </x:c>
      <x:c r="E7" s="12" t="str">
        <x:v>Any Intermediate/F.Sc group, including Pre-Medical, Pre-Engineering, ICS, Commerce, Arts/Humanities or equivalent</x:v>
      </x:c>
      <x:c r="F7" s="12" t="str">
        <x:v>None specifically required for group eligibility</x:v>
      </x:c>
      <x:c r="G7" s="14" t="n">
        <x:v>0</x:v>
      </x:c>
      <x:c r="H7" s="14" t="n">
        <x:v>50</x:v>
      </x:c>
      <x:c r="I7" s="14" t="n">
        <x:v>20</x:v>
      </x:c>
      <x:c r="J7" s="14" t="n">
        <x:v>0</x:v>
      </x:c>
      <x:c r="K7" s="14" t="n">
        <x:v>0</x:v>
      </x:c>
      <x:c r="L7" s="14" t="n">
        <x:v>15</x:v>
      </x:c>
      <x:c r="M7" s="14" t="n">
        <x:v>0</x:v>
      </x:c>
      <x:c r="N7" s="14" t="n">
        <x:v>0</x:v>
      </x:c>
      <x:c r="O7" s="14" t="n">
        <x:v>35</x:v>
      </x:c>
      <x:c r="P7" s="14" t="n">
        <x:v>20</x:v>
      </x:c>
      <x:c r="Q7" s="14" t="n">
        <x:v>10</x:v>
      </x:c>
      <x:c r="R7" s="14" t="n">
        <x:v>10</x:v>
      </x:c>
      <x:c r="S7" s="14" t="n">
        <x:v>30</x:v>
      </x:c>
      <x:c r="T7" s="14" t="n">
        <x:v>20</x:v>
      </x:c>
      <x:c r="U7" s="14" t="n">
        <x:v>0</x:v>
      </x:c>
      <x:c r="V7" s="14" t="n">
        <x:v>0</x:v>
      </x:c>
      <x:c r="W7" s="14" t="n">
        <x:v>40</x:v>
      </x:c>
      <x:c r="X7" s="14" t="n">
        <x:v>0</x:v>
      </x:c>
      <x:c r="Y7" s="14" t="n">
        <x:v>0</x:v>
      </x:c>
      <x:c r="Z7" s="14" t="n">
        <x:v>15</x:v>
      </x:c>
      <x:c r="AA7" s="14" t="n">
        <x:v>15</x:v>
      </x:c>
      <x:c r="AB7" s="14" t="n">
        <x:v>0</x:v>
      </x:c>
      <x:c r="AC7" s="14" t="n">
        <x:v>45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25</x:v>
      </x:c>
      <x:c r="AI7" s="14" t="str">
        <x:v>Specialized degree in accounting, financial reporting, auditing and financial management.</x:v>
      </x:c>
      <x:c r="AJ7" s="12" t="str">
        <x:v>Accountant, Auditor, Financial Analyst, Tax Associate, Banking Officer</x:v>
      </x:c>
      <x:c r="AK7" s="12" t="str">
        <x:v>Official university undergraduate listing includes BS Accounting &amp; Finance; minimum 50% is used according to general BS admission criteria.</x:v>
      </x:c>
      <x:c r="AL7" s="12" t="str">
        <x:v>https://www.iba-suk.edu.pk/Content/pdf/BS%20AF%20Program%20PLOs-Eligibility.pdf</x:v>
      </x:c>
      <x:c r="AM7" s="12" t="str">
        <x:v>Model-defined recommendation weights</x:v>
      </x:c>
      <x:c r="AN7" s="12" t="str">
        <x:v>2026-07-17</x:v>
      </x:c>
    </x:row>
    <x:row r="8">
      <x:c r="A8" s="12" t="str">
        <x:v>SIBAU-BSECO</x:v>
      </x:c>
      <x:c r="B8" s="12" t="str">
        <x:v>BS Economics</x:v>
      </x:c>
      <x:c r="C8" s="12" t="str">
        <x:v>Economics &amp; Social Science</x:v>
      </x:c>
      <x:c r="D8" s="12" t="str">
        <x:v>4 Years</x:v>
      </x:c>
      <x:c r="E8" s="12" t="str">
        <x:v>Any Intermediate/F.Sc group, including Pre-Medical, Pre-Engineering, ICS, Commerce, Arts/Humanities or equivalent</x:v>
      </x:c>
      <x:c r="F8" s="12" t="str">
        <x:v>None specifically required for group eligibility</x:v>
      </x:c>
      <x:c r="G8" s="14" t="n">
        <x:v>0</x:v>
      </x:c>
      <x:c r="H8" s="14" t="n">
        <x:v>50</x:v>
      </x:c>
      <x:c r="I8" s="14" t="n">
        <x:v>25</x:v>
      </x:c>
      <x:c r="J8" s="14" t="n">
        <x:v>0</x:v>
      </x:c>
      <x:c r="K8" s="14" t="n">
        <x:v>0</x:v>
      </x:c>
      <x:c r="L8" s="14" t="n">
        <x:v>20</x:v>
      </x:c>
      <x:c r="M8" s="14" t="n">
        <x:v>0</x:v>
      </x:c>
      <x:c r="N8" s="14" t="n">
        <x:v>0</x:v>
      </x:c>
      <x:c r="O8" s="14" t="n">
        <x:v>5</x:v>
      </x:c>
      <x:c r="P8" s="14" t="n">
        <x:v>30</x:v>
      </x:c>
      <x:c r="Q8" s="14" t="n">
        <x:v>20</x:v>
      </x:c>
      <x:c r="R8" s="14" t="n">
        <x:v>15</x:v>
      </x:c>
      <x:c r="S8" s="14" t="n">
        <x:v>25</x:v>
      </x:c>
      <x:c r="T8" s="14" t="n">
        <x:v>30</x:v>
      </x:c>
      <x:c r="U8" s="14" t="n">
        <x:v>0</x:v>
      </x:c>
      <x:c r="V8" s="14" t="n">
        <x:v>0</x:v>
      </x:c>
      <x:c r="W8" s="14" t="n">
        <x:v>30</x:v>
      </x:c>
      <x:c r="X8" s="14" t="n">
        <x:v>0</x:v>
      </x:c>
      <x:c r="Y8" s="14" t="n">
        <x:v>0</x:v>
      </x:c>
      <x:c r="Z8" s="14" t="n">
        <x:v>25</x:v>
      </x:c>
      <x:c r="AA8" s="14" t="n">
        <x:v>20</x:v>
      </x:c>
      <x:c r="AB8" s="14" t="n">
        <x:v>0</x:v>
      </x:c>
      <x:c r="AC8" s="14" t="n">
        <x:v>10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45</x:v>
      </x:c>
      <x:c r="AI8" s="14" t="str">
        <x:v>Degree in economic theory, policy, quantitative analysis and development issues.</x:v>
      </x:c>
      <x:c r="AJ8" s="12" t="str">
        <x:v>Economic Analyst, Research Assistant, Banking Officer, Policy Analyst, Development Sector Officer</x:v>
      </x:c>
      <x:c r="AK8" s="12" t="str">
        <x:v>Listed by Sukkur IBA University as a four-year undergraduate program; verify current admission advertisement for final eligibility.</x:v>
      </x:c>
      <x:c r="AL8" s="12" t="str">
        <x:v>https://www.iba-suk.edu.pk/Content/pdf/offered-programs/Course-schema-BS-Economics.pdf</x:v>
      </x:c>
      <x:c r="AM8" s="12" t="str">
        <x:v>Model-defined recommendation weights</x:v>
      </x:c>
      <x:c r="AN8" s="12" t="str">
        <x:v>2026-07-17</x:v>
      </x:c>
    </x:row>
    <x:row r="9">
      <x:c r="A9" s="12" t="str">
        <x:v>SIBAU-BSMATH</x:v>
      </x:c>
      <x:c r="B9" s="12" t="str">
        <x:v>BS Mathematics</x:v>
      </x:c>
      <x:c r="C9" s="12" t="str">
        <x:v>Mathematics &amp; Sciences</x:v>
      </x:c>
      <x:c r="D9" s="12" t="str">
        <x:v>4 Years</x:v>
      </x:c>
      <x:c r="E9" s="12" t="str">
        <x:v>Any Intermediate/F.Sc group, including Pre-Medical, Pre-Engineering, ICS, Commerce, Arts/Humanities or equivalent</x:v>
      </x:c>
      <x:c r="F9" s="12" t="str">
        <x:v>None specifically required for group eligibility</x:v>
      </x:c>
      <x:c r="G9" s="14" t="n">
        <x:v>0</x:v>
      </x:c>
      <x:c r="H9" s="14" t="n">
        <x:v>50</x:v>
      </x:c>
      <x:c r="I9" s="14" t="n">
        <x:v>55</x:v>
      </x:c>
      <x:c r="J9" s="14" t="n">
        <x:v>15</x:v>
      </x:c>
      <x:c r="K9" s="14" t="n">
        <x:v>10</x:v>
      </x:c>
      <x:c r="L9" s="14" t="n">
        <x:v>10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  <x:c r="Q9" s="14" t="n">
        <x:v>10</x:v>
      </x:c>
      <x:c r="R9" s="14" t="n">
        <x:v>40</x:v>
      </x:c>
      <x:c r="S9" s="14" t="n">
        <x:v>35</x:v>
      </x:c>
      <x:c r="T9" s="14" t="n">
        <x:v>5</x:v>
      </x:c>
      <x:c r="U9" s="14" t="n">
        <x:v>0</x:v>
      </x:c>
      <x:c r="V9" s="14" t="n">
        <x:v>10</x:v>
      </x:c>
      <x:c r="W9" s="14" t="n">
        <x:v>10</x:v>
      </x:c>
      <x:c r="X9" s="14" t="n">
        <x:v>5</x:v>
      </x:c>
      <x:c r="Y9" s="14" t="n">
        <x:v>10</x:v>
      </x:c>
      <x:c r="Z9" s="14" t="n">
        <x:v>35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50</x:v>
      </x:c>
      <x:c r="AI9" s="14" t="str">
        <x:v>Mathematics degree covering pure, applied and computational mathematics.</x:v>
      </x:c>
      <x:c r="AJ9" s="12" t="str">
        <x:v>Mathematician, Data Analyst, Researcher, Lecturer, Quantitative Analyst</x:v>
      </x:c>
      <x:c r="AK9" s="12" t="str">
        <x:v>Pre-Medical and other Intermediate groups are treated as eligible under the working SIBAU admission rule used in this model. Strong Mathematics preparation remains important for recommendation suitability.</x:v>
      </x:c>
      <x:c r="AL9" s="12" t="str">
        <x:v>https://www.iba-suk.edu.pk/offered-programs/bs-mathematics</x:v>
      </x:c>
      <x:c r="AM9" s="12" t="str">
        <x:v>Model-defined recommendation weights</x:v>
      </x:c>
      <x:c r="AN9" s="12" t="str">
        <x:v>2026-07-17</x:v>
      </x:c>
    </x:row>
    <x:row r="10">
      <x:c r="A10" s="12" t="str">
        <x:v>SIBAU-BSMC</x:v>
      </x:c>
      <x:c r="B10" s="12" t="str">
        <x:v>BS Media &amp; Communication</x:v>
      </x:c>
      <x:c r="C10" s="12" t="str">
        <x:v>Media &amp; Communication</x:v>
      </x:c>
      <x:c r="D10" s="12" t="str">
        <x:v>4 Years</x:v>
      </x:c>
      <x:c r="E10" s="12" t="str">
        <x:v>Any Intermediate/F.Sc group, including Pre-Medical, Pre-Engineering, ICS, Commerce, Arts/Humanities or equivalent</x:v>
      </x:c>
      <x:c r="F10" s="12" t="str">
        <x:v>None specifically required for group eligibility</x:v>
      </x:c>
      <x:c r="G10" s="14" t="n">
        <x:v>0</x:v>
      </x:c>
      <x:c r="H10" s="14" t="n">
        <x:v>50</x:v>
      </x:c>
      <x:c r="I10" s="14" t="n">
        <x:v>0</x:v>
      </x:c>
      <x:c r="J10" s="14" t="n">
        <x:v>0</x:v>
      </x:c>
      <x:c r="K10" s="14" t="n">
        <x:v>5</x:v>
      </x:c>
      <x:c r="L10" s="14" t="n">
        <x:v>35</x:v>
      </x:c>
      <x:c r="M10" s="14" t="n">
        <x:v>0</x:v>
      </x:c>
      <x:c r="N10" s="14" t="n">
        <x:v>0</x:v>
      </x:c>
      <x:c r="O10" s="14" t="n">
        <x:v>0</x:v>
      </x:c>
      <x:c r="P10" s="14" t="n">
        <x:v>5</x:v>
      </x:c>
      <x:c r="Q10" s="14" t="n">
        <x:v>55</x:v>
      </x:c>
      <x:c r="R10" s="14" t="n">
        <x:v>5</x:v>
      </x:c>
      <x:c r="S10" s="14" t="n">
        <x:v>0</x:v>
      </x:c>
      <x:c r="T10" s="14" t="n">
        <x:v>40</x:v>
      </x:c>
      <x:c r="U10" s="14" t="n">
        <x:v>35</x:v>
      </x:c>
      <x:c r="V10" s="14" t="n">
        <x:v>0</x:v>
      </x:c>
      <x:c r="W10" s="14" t="n">
        <x:v>20</x:v>
      </x:c>
      <x:c r="X10" s="14" t="n">
        <x:v>0</x:v>
      </x:c>
      <x:c r="Y10" s="14" t="n">
        <x:v>10</x:v>
      </x:c>
      <x:c r="Z10" s="14" t="n">
        <x:v>5</x:v>
      </x:c>
      <x:c r="AA10" s="14" t="n">
        <x:v>0</x:v>
      </x:c>
      <x:c r="AB10" s="14" t="n">
        <x:v>0</x:v>
      </x:c>
      <x:c r="AC10" s="14" t="n">
        <x:v>0</x:v>
      </x:c>
      <x:c r="AD10" s="14" t="n">
        <x:v>55</x:v>
      </x:c>
      <x:c r="AE10" s="14" t="n">
        <x:v>0</x:v>
      </x:c>
      <x:c r="AF10" s="14" t="n">
        <x:v>0</x:v>
      </x:c>
      <x:c r="AG10" s="14" t="n">
        <x:v>0</x:v>
      </x:c>
      <x:c r="AH10" s="14" t="n">
        <x:v>30</x:v>
      </x:c>
      <x:c r="AI10" s="14" t="str">
        <x:v>Degree focused on journalism, digital media, communication, production and public relations.</x:v>
      </x:c>
      <x:c r="AJ10" s="12" t="str">
        <x:v>Journalist, Content Producer, PR Officer, Digital Media Specialist, Broadcaster</x:v>
      </x:c>
      <x:c r="AK10" s="12" t="str">
        <x:v>Official university page lists the program; general BS minimum of 50% is used pending confirmation from current admission notice.</x:v>
      </x:c>
      <x:c r="AL10" s="12" t="str">
        <x:v>https://www.iba-suk.edu.pk/offered-programs/bs-media-communication</x:v>
      </x:c>
      <x:c r="AM10" s="12" t="str">
        <x:v>Model-defined recommendation weights</x:v>
      </x:c>
      <x:c r="AN10" s="12" t="str">
        <x:v>2026-07-17</x:v>
      </x:c>
    </x:row>
    <x:row r="11">
      <x:c r="A11" s="12" t="str">
        <x:v>SIBAU-BSPESS</x:v>
      </x:c>
      <x:c r="B11" s="12" t="str">
        <x:v>BS Physical Education &amp; Sports Sciences</x:v>
      </x:c>
      <x:c r="C11" s="12" t="str">
        <x:v>Sports &amp; Health</x:v>
      </x:c>
      <x:c r="D11" s="12" t="str">
        <x:v>4 Years</x:v>
      </x:c>
      <x:c r="E11" s="12" t="str">
        <x:v>Any Intermediate/F.Sc group, including Pre-Medical, Pre-Engineering, ICS, Commerce, Arts/Humanities or equivalent</x:v>
      </x:c>
      <x:c r="F11" s="12" t="str">
        <x:v>None specifically required for group eligibility</x:v>
      </x:c>
      <x:c r="G11" s="14" t="n">
        <x:v>0</x:v>
      </x:c>
      <x:c r="H11" s="14" t="n">
        <x:v>50</x:v>
      </x:c>
      <x:c r="I11" s="14" t="n">
        <x:v>5</x:v>
      </x:c>
      <x:c r="J11" s="14" t="n">
        <x:v>5</x:v>
      </x:c>
      <x:c r="K11" s="14" t="n">
        <x:v>0</x:v>
      </x:c>
      <x:c r="L11" s="14" t="n">
        <x:v>10</x:v>
      </x:c>
      <x:c r="M11" s="14" t="n">
        <x:v>20</x:v>
      </x:c>
      <x:c r="N11" s="14" t="n">
        <x:v>5</x:v>
      </x:c>
      <x:c r="O11" s="14" t="n">
        <x:v>0</x:v>
      </x:c>
      <x:c r="P11" s="14" t="n">
        <x:v>0</x:v>
      </x:c>
      <x:c r="Q11" s="14" t="n">
        <x:v>55</x:v>
      </x:c>
      <x:c r="R11" s="14" t="n">
        <x:v>5</x:v>
      </x:c>
      <x:c r="S11" s="14" t="n">
        <x:v>5</x:v>
      </x:c>
      <x:c r="T11" s="14" t="n">
        <x:v>15</x:v>
      </x:c>
      <x:c r="U11" s="14" t="n">
        <x:v>5</x:v>
      </x:c>
      <x:c r="V11" s="14" t="n">
        <x:v>10</x:v>
      </x:c>
      <x:c r="W11" s="14" t="n">
        <x:v>60</x:v>
      </x:c>
      <x:c r="X11" s="14" t="n">
        <x:v>0</x:v>
      </x:c>
      <x:c r="Y11" s="14" t="n">
        <x:v>0</x:v>
      </x:c>
      <x:c r="Z11" s="14" t="n">
        <x:v>5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75</x:v>
      </x:c>
      <x:c r="AG11" s="14" t="n">
        <x:v>0</x:v>
      </x:c>
      <x:c r="AH11" s="14" t="n">
        <x:v>20</x:v>
      </x:c>
      <x:c r="AI11" s="14" t="str">
        <x:v>Program covering physical education, sports sciences, fitness, coaching and health promotion.</x:v>
      </x:c>
      <x:c r="AJ11" s="12" t="str">
        <x:v>Physical Education Teacher, Fitness Trainer, Sports Coach, Sports Administrator, Wellness Officer</x:v>
      </x:c>
      <x:c r="AK11" s="12" t="str">
        <x:v>Official handbook states 12 years of education from diverse groups with minimum 50%.</x:v>
      </x:c>
      <x:c r="AL11" s="12" t="str">
        <x:v>https://www.iba-suk.edu.pk/Content/pdf/home/SIBA-Student-Handbook-2020-21_Updated.pdf</x:v>
      </x:c>
      <x:c r="AM11" s="12" t="str">
        <x:v>Model-defined recommendation weights</x:v>
      </x:c>
      <x:c r="AN11" s="12" t="str">
        <x:v>2026-07-17</x:v>
      </x:c>
    </x:row>
    <x:row r="12">
      <x:c r="A12" s="12" t="str">
        <x:v>SIBAU-ADPESS</x:v>
      </x:c>
      <x:c r="B12" s="12" t="str">
        <x:v>Associate Degree in Physical Education &amp; Sports Sciences</x:v>
      </x:c>
      <x:c r="C12" s="12" t="str">
        <x:v>Sports &amp; Health</x:v>
      </x:c>
      <x:c r="D12" s="12" t="str">
        <x:v>2 Years</x:v>
      </x:c>
      <x:c r="E12" s="12" t="str">
        <x:v>Any Intermediate/F.Sc group, including Pre-Medical, Pre-Engineering, ICS, Commerce, Arts/Humanities or equivalent</x:v>
      </x:c>
      <x:c r="F12" s="12" t="str">
        <x:v>None specifically required for group eligibility</x:v>
      </x:c>
      <x:c r="G12" s="14" t="n">
        <x:v>0</x:v>
      </x:c>
      <x:c r="H12" s="14" t="n">
        <x:v>50</x:v>
      </x:c>
      <x:c r="I12" s="14" t="n">
        <x:v>5</x:v>
      </x:c>
      <x:c r="J12" s="14" t="n">
        <x:v>5</x:v>
      </x:c>
      <x:c r="K12" s="14" t="n">
        <x:v>0</x:v>
      </x:c>
      <x:c r="L12" s="14" t="n">
        <x:v>10</x:v>
      </x:c>
      <x:c r="M12" s="14" t="n">
        <x:v>20</x:v>
      </x:c>
      <x:c r="N12" s="14" t="n">
        <x:v>5</x:v>
      </x:c>
      <x:c r="O12" s="14" t="n">
        <x:v>0</x:v>
      </x:c>
      <x:c r="P12" s="14" t="n">
        <x:v>0</x:v>
      </x:c>
      <x:c r="Q12" s="14" t="n">
        <x:v>55</x:v>
      </x:c>
      <x:c r="R12" s="14" t="n">
        <x:v>5</x:v>
      </x:c>
      <x:c r="S12" s="14" t="n">
        <x:v>5</x:v>
      </x:c>
      <x:c r="T12" s="14" t="n">
        <x:v>15</x:v>
      </x:c>
      <x:c r="U12" s="14" t="n">
        <x:v>5</x:v>
      </x:c>
      <x:c r="V12" s="14" t="n">
        <x:v>10</x:v>
      </x:c>
      <x:c r="W12" s="14" t="n">
        <x:v>60</x:v>
      </x:c>
      <x:c r="X12" s="14" t="n">
        <x:v>0</x:v>
      </x:c>
      <x:c r="Y12" s="14" t="n">
        <x:v>0</x:v>
      </x:c>
      <x:c r="Z12" s="14" t="n">
        <x:v>5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0</x:v>
      </x:c>
      <x:c r="AF12" s="14" t="n">
        <x:v>75</x:v>
      </x:c>
      <x:c r="AG12" s="14" t="n">
        <x:v>0</x:v>
      </x:c>
      <x:c r="AH12" s="14" t="n">
        <x:v>20</x:v>
      </x:c>
      <x:c r="AI12" s="14" t="str">
        <x:v>Two-year associate degree focused on physical education, fitness and sports practice.</x:v>
      </x:c>
      <x:c r="AJ12" s="12" t="str">
        <x:v>Fitness Trainer, Sports Assistant, Junior Coach, Physical Activity Coordinator</x:v>
      </x:c>
      <x:c r="AK12" s="12" t="str">
        <x:v>Official handbook states 12 years of education from diverse groups with minimum 50%.</x:v>
      </x:c>
      <x:c r="AL12" s="12" t="str">
        <x:v>https://www.iba-suk.edu.pk/Content/pdf/home/SIBA-Student-Handbook-2020-21_Updated.pdf</x:v>
      </x:c>
      <x:c r="AM12" s="12" t="str">
        <x:v>Model-defined recommendation weights</x:v>
      </x:c>
      <x:c r="AN12" s="12" t="str">
        <x:v>2026-07-17</x:v>
      </x:c>
    </x:row>
    <x:row r="13">
      <x:c r="A13" s="12" t="str">
        <x:v>SIBAU-BEEE</x:v>
      </x:c>
      <x:c r="B13" s="12" t="str">
        <x:v>BE Electrical Engineering</x:v>
      </x:c>
      <x:c r="C13" s="12" t="str">
        <x:v>Engineering</x:v>
      </x:c>
      <x:c r="D13" s="12" t="str">
        <x:v>4 Years</x:v>
      </x:c>
      <x:c r="E13" s="12" t="str">
        <x:v>Pre-Engineering</x:v>
      </x:c>
      <x:c r="F13" s="12" t="str">
        <x:v>Mathematics and Physics</x:v>
      </x:c>
      <x:c r="G13" s="14" t="n">
        <x:v>60</x:v>
      </x:c>
      <x:c r="H13" s="14" t="n">
        <x:v>60</x:v>
      </x:c>
      <x:c r="I13" s="14" t="n">
        <x:v>35</x:v>
      </x:c>
      <x:c r="J13" s="14" t="n">
        <x:v>35</x:v>
      </x:c>
      <x:c r="K13" s="14" t="n">
        <x:v>10</x:v>
      </x:c>
      <x:c r="L13" s="14" t="n">
        <x:v>10</x:v>
      </x:c>
      <x:c r="M13" s="14" t="n">
        <x:v>0</x:v>
      </x:c>
      <x:c r="N13" s="14" t="n">
        <x:v>10</x:v>
      </x:c>
      <x:c r="O13" s="14" t="n">
        <x:v>0</x:v>
      </x:c>
      <x:c r="P13" s="14" t="n">
        <x:v>0</x:v>
      </x:c>
      <x:c r="Q13" s="14" t="n">
        <x:v>0</x:v>
      </x:c>
      <x:c r="R13" s="14" t="n">
        <x:v>25</x:v>
      </x:c>
      <x:c r="S13" s="14" t="n">
        <x:v>25</x:v>
      </x:c>
      <x:c r="T13" s="14" t="n">
        <x:v>5</x:v>
      </x:c>
      <x:c r="U13" s="14" t="n">
        <x:v>0</x:v>
      </x:c>
      <x:c r="V13" s="14" t="n">
        <x:v>35</x:v>
      </x:c>
      <x:c r="W13" s="14" t="n">
        <x:v>10</x:v>
      </x:c>
      <x:c r="X13" s="14" t="n">
        <x:v>5</x:v>
      </x:c>
      <x:c r="Y13" s="14" t="n">
        <x:v>20</x:v>
      </x:c>
      <x:c r="Z13" s="14" t="n">
        <x:v>30</x:v>
      </x:c>
      <x:c r="AA13" s="14" t="n">
        <x:v>0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45</x:v>
      </x:c>
      <x:c r="AH13" s="14" t="n">
        <x:v>0</x:v>
      </x:c>
      <x:c r="AI13" s="14" t="str">
        <x:v>Engineering degree with areas including electronics, power and energy systems.</x:v>
      </x:c>
      <x:c r="AJ13" s="12" t="str">
        <x:v>Electrical Engineer, Power Engineer, Electronics Engineer, Control Engineer, Energy Engineer</x:v>
      </x:c>
      <x:c r="AK13" s="12" t="str">
        <x:v>Pre-Medical students are not eligible under the working rule. Requires Pre-Engineering plus the stated overall and subject thresholds.</x:v>
      </x:c>
      <x:c r="AL13" s="12" t="str">
        <x:v>https://www.iba-suk.edu.pk/admission/under-graduate-program/admission-procedures</x:v>
      </x:c>
      <x:c r="AM13" s="12" t="str">
        <x:v>Model-defined recommendation weights</x:v>
      </x:c>
      <x:c r="AN13" s="12" t="str">
        <x:v>2026-07-17</x:v>
      </x:c>
    </x:row>
    <x:row r="14">
      <x:c r="A14" s="12" t="str">
        <x:v>SIBAU-BECSE</x:v>
      </x:c>
      <x:c r="B14" s="12" t="str">
        <x:v>BE Computer Systems Engineering</x:v>
      </x:c>
      <x:c r="C14" s="12" t="str">
        <x:v>Engineering &amp; Computing</x:v>
      </x:c>
      <x:c r="D14" s="12" t="str">
        <x:v>4 Years</x:v>
      </x:c>
      <x:c r="E14" s="12" t="str">
        <x:v>Pre-Engineering or ICS</x:v>
      </x:c>
      <x:c r="F14" s="12" t="str">
        <x:v>Mathematics; Physics/Computer Science</x:v>
      </x:c>
      <x:c r="G14" s="14" t="n">
        <x:v>60</x:v>
      </x:c>
      <x:c r="H14" s="14" t="n">
        <x:v>60</x:v>
      </x:c>
      <x:c r="I14" s="14" t="n">
        <x:v>35</x:v>
      </x:c>
      <x:c r="J14" s="14" t="n">
        <x:v>20</x:v>
      </x:c>
      <x:c r="K14" s="14" t="n">
        <x:v>25</x:v>
      </x:c>
      <x:c r="L14" s="14" t="n">
        <x:v>10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  <x:c r="Q14" s="14" t="n">
        <x:v>10</x:v>
      </x:c>
      <x:c r="R14" s="14" t="n">
        <x:v>30</x:v>
      </x:c>
      <x:c r="S14" s="14" t="n">
        <x:v>25</x:v>
      </x:c>
      <x:c r="T14" s="14" t="n">
        <x:v>5</x:v>
      </x:c>
      <x:c r="U14" s="14" t="n">
        <x:v>0</x:v>
      </x:c>
      <x:c r="V14" s="14" t="n">
        <x:v>30</x:v>
      </x:c>
      <x:c r="W14" s="14" t="n">
        <x:v>10</x:v>
      </x:c>
      <x:c r="X14" s="14" t="n">
        <x:v>20</x:v>
      </x:c>
      <x:c r="Y14" s="14" t="n">
        <x:v>25</x:v>
      </x:c>
      <x:c r="Z14" s="14" t="n">
        <x:v>30</x:v>
      </x:c>
      <x:c r="AA14" s="14" t="n">
        <x:v>0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25</x:v>
      </x:c>
      <x:c r="AH14" s="14" t="n">
        <x:v>0</x:v>
      </x:c>
      <x:c r="AI14" s="14" t="str">
        <x:v>Engineering degree combining computer hardware, embedded systems, electronics, networks and software.</x:v>
      </x:c>
      <x:c r="AJ14" s="12" t="str">
        <x:v>Computer Engineer, Embedded Systems Engineer, Hardware Engineer, IoT Engineer, Network Engineer</x:v>
      </x:c>
      <x:c r="AK14" s="12" t="str">
        <x:v>Pre-Medical students are not eligible under the working rule. Requires Pre-Engineering or ICS plus the stated overall and subject thresholds.</x:v>
      </x:c>
      <x:c r="AL14" s="12" t="str">
        <x:v>https://www.iba-suk.edu.pk/CSE/ElgCriteria</x:v>
      </x:c>
      <x:c r="AM14" s="12" t="str">
        <x:v>Model-defined recommendation weights</x:v>
      </x:c>
      <x:c r="AN14" s="12" t="str">
        <x:v>2026-07-17</x:v>
      </x:c>
    </x:row>
    <x:row r="15">
      <x:c r="A15" s="12" t="str">
        <x:v>SIBAU-BEDH</x:v>
      </x:c>
      <x:c r="B15" s="12" t="str">
        <x:v>B.Ed (Hons)</x:v>
      </x:c>
      <x:c r="C15" s="12" t="str">
        <x:v>Education</x:v>
      </x:c>
      <x:c r="D15" s="12" t="str">
        <x:v>4 Years</x:v>
      </x:c>
      <x:c r="E15" s="12" t="str">
        <x:v>Any Intermediate/F.Sc group, including Pre-Medical, Pre-Engineering, ICS, Commerce, Arts/Humanities or equivalent</x:v>
      </x:c>
      <x:c r="F15" s="12" t="str">
        <x:v>None specifically required for group eligibility</x:v>
      </x:c>
      <x:c r="G15" s="14" t="n">
        <x:v>0</x:v>
      </x:c>
      <x:c r="H15" s="14" t="n">
        <x:v>50</x:v>
      </x:c>
      <x:c r="I15" s="14" t="n">
        <x:v>5</x:v>
      </x:c>
      <x:c r="J15" s="14" t="n">
        <x:v>0</x:v>
      </x:c>
      <x:c r="K15" s="14" t="n">
        <x:v>0</x:v>
      </x:c>
      <x:c r="L15" s="14" t="n">
        <x:v>25</x:v>
      </x:c>
      <x:c r="M15" s="14" t="n">
        <x:v>5</x:v>
      </x:c>
      <x:c r="N15" s="14" t="n">
        <x:v>0</x:v>
      </x:c>
      <x:c r="O15" s="14" t="n">
        <x:v>0</x:v>
      </x:c>
      <x:c r="P15" s="14" t="n">
        <x:v>0</x:v>
      </x:c>
      <x:c r="Q15" s="14" t="n">
        <x:v>65</x:v>
      </x:c>
      <x:c r="R15" s="14" t="n">
        <x:v>5</x:v>
      </x:c>
      <x:c r="S15" s="14" t="n">
        <x:v>0</x:v>
      </x:c>
      <x:c r="T15" s="14" t="n">
        <x:v>35</x:v>
      </x:c>
      <x:c r="U15" s="14" t="n">
        <x:v>10</x:v>
      </x:c>
      <x:c r="V15" s="14" t="n">
        <x:v>0</x:v>
      </x:c>
      <x:c r="W15" s="14" t="n">
        <x:v>50</x:v>
      </x:c>
      <x:c r="X15" s="14" t="n">
        <x:v>0</x:v>
      </x:c>
      <x:c r="Y15" s="14" t="n">
        <x:v>0</x:v>
      </x:c>
      <x:c r="Z15" s="14" t="n">
        <x:v>10</x:v>
      </x:c>
      <x:c r="AA15" s="14" t="n">
        <x:v>0</x:v>
      </x:c>
      <x:c r="AB15" s="14" t="n">
        <x:v>0</x:v>
      </x:c>
      <x:c r="AC15" s="14" t="n">
        <x:v>0</x:v>
      </x:c>
      <x:c r="AD15" s="14" t="n">
        <x:v>0</x:v>
      </x:c>
      <x:c r="AE15" s="14" t="n">
        <x:v>70</x:v>
      </x:c>
      <x:c r="AF15" s="14" t="n">
        <x:v>0</x:v>
      </x:c>
      <x:c r="AG15" s="14" t="n">
        <x:v>0</x:v>
      </x:c>
      <x:c r="AH15" s="14" t="n">
        <x:v>20</x:v>
      </x:c>
      <x:c r="AI15" s="14" t="str">
        <x:v>Professional teacher-education degree emphasizing pedagogy, classroom practice and educational development.</x:v>
      </x:c>
      <x:c r="AJ15" s="12" t="str">
        <x:v>School Teacher, Education Officer, Curriculum Assistant, Academic Coordinator, Training Facilitator</x:v>
      </x:c>
      <x:c r="AK15" s="12" t="str">
        <x:v>Official general eligibility sources state Intermediate/F.Sc with minimum 50%; no supplementary/condoned subject.</x:v>
      </x:c>
      <x:c r="AL15" s="12" t="str">
        <x:v>https://www.iba-suk.edu.pk/Content/pdf/offered-programs/B.Ed%20%28Hons%29%20-%204%20YEARS%20-%20FOR%20WEBSITE.pdf</x:v>
      </x:c>
      <x:c r="AM15" s="12" t="str">
        <x:v>Model-defined recommendation weights</x:v>
      </x:c>
      <x:c r="AN15" s="12" t="str">
        <x:v>2026-07-17</x:v>
      </x:c>
    </x:row>
  </x:sheetData>
  <x:conditionalFormatting sqref="H2:H15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eaccafb3ca54f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42.75" hidden="0" customWidth="1"/>
    <x:col min="3" max="3" width="17.8799991607666" hidden="0" customWidth="1"/>
    <x:col min="4" max="4" width="17.25" hidden="0" customWidth="1"/>
    <x:col min="5" max="5" width="16.3799991607666" hidden="0" customWidth="1"/>
    <x:col min="6" max="6" width="8.25" hidden="0" customWidth="1"/>
  </x:cols>
  <x:sheetData>
    <x:row r="1">
      <x:c r="A1" s="6" t="str">
        <x:v>Program ID</x:v>
      </x:c>
      <x:c r="B1" s="6" t="str">
        <x:v>Program Name</x:v>
      </x:c>
      <x:c r="C1" s="6" t="str">
        <x:v>Academic Weight Total</x:v>
      </x:c>
      <x:c r="D1" s="6" t="str">
        <x:v>Aptitude Weight Total</x:v>
      </x:c>
      <x:c r="E1" s="6" t="str">
        <x:v>Interest Weight Total</x:v>
      </x:c>
      <x:c r="F1" s="6" t="str">
        <x:v>Validation</x:v>
      </x:c>
    </x:row>
    <x:row r="2">
      <x:c r="A2" t="str">
        <x:v>SIBAU-BBA</x:v>
      </x:c>
      <x:c r="B2" t="str">
        <x:v>Bachelor of Business Administration (BBA)</x:v>
      </x:c>
      <x:c r="C2" t="n">
        <x:f>SUM(Program_Master!I2:Q2)</x:f>
        <x:v>100</x:v>
      </x:c>
      <x:c r="D2" t="n">
        <x:f>SUM(Program_Master!R2:W2)</x:f>
        <x:v>100</x:v>
      </x:c>
      <x:c r="E2" t="n">
        <x:f>SUM(Program_Master!X2:AH2)</x:f>
        <x:v>100</x:v>
      </x:c>
      <x:c r="F2" t="str">
        <x:f>IF(AND(C2=100,D2=100,E2=100),"OK","CHECK")</x:f>
        <x:v>OK</x:v>
      </x:c>
    </x:row>
    <x:row r="3">
      <x:c r="A3" t="str">
        <x:v>SIBAU-BBA-AGRI</x:v>
      </x:c>
      <x:c r="B3" t="str">
        <x:v>BBA (Agribusiness)</x:v>
      </x:c>
      <x:c r="C3" t="n">
        <x:f>SUM(Program_Master!I3:Q3)</x:f>
        <x:v>100</x:v>
      </x:c>
      <x:c r="D3" t="n">
        <x:f>SUM(Program_Master!R3:W3)</x:f>
        <x:v>100</x:v>
      </x:c>
      <x:c r="E3" t="n">
        <x:f>SUM(Program_Master!X3:AH3)</x:f>
        <x:v>100</x:v>
      </x:c>
      <x:c r="F3" t="str">
        <x:f>IF(AND(C3=100,D3=100,E3=100),"OK","CHECK")</x:f>
        <x:v>OK</x:v>
      </x:c>
    </x:row>
    <x:row r="4">
      <x:c r="A4" t="str">
        <x:v>SIBAU-BSCS</x:v>
      </x:c>
      <x:c r="B4" t="str">
        <x:v>BS Computer Science</x:v>
      </x:c>
      <x:c r="C4" t="n">
        <x:f>SUM(Program_Master!I4:Q4)</x:f>
        <x:v>100</x:v>
      </x:c>
      <x:c r="D4" t="n">
        <x:f>SUM(Program_Master!R4:W4)</x:f>
        <x:v>100</x:v>
      </x:c>
      <x:c r="E4" t="n">
        <x:f>SUM(Program_Master!X4:AH4)</x:f>
        <x:v>100</x:v>
      </x:c>
      <x:c r="F4" t="str">
        <x:f>IF(AND(C4=100,D4=100,E4=100),"OK","CHECK")</x:f>
        <x:v>OK</x:v>
      </x:c>
    </x:row>
    <x:row r="5">
      <x:c r="A5" t="str">
        <x:v>SIBAU-BSSE</x:v>
      </x:c>
      <x:c r="B5" t="str">
        <x:v>BS Software Engineering</x:v>
      </x:c>
      <x:c r="C5" t="n">
        <x:f>SUM(Program_Master!I5:Q5)</x:f>
        <x:v>100</x:v>
      </x:c>
      <x:c r="D5" t="n">
        <x:f>SUM(Program_Master!R5:W5)</x:f>
        <x:v>100</x:v>
      </x:c>
      <x:c r="E5" t="n">
        <x:f>SUM(Program_Master!X5:AH5)</x:f>
        <x:v>100</x:v>
      </x:c>
      <x:c r="F5" t="str">
        <x:f>IF(AND(C5=100,D5=100,E5=100),"OK","CHECK")</x:f>
        <x:v>OK</x:v>
      </x:c>
    </x:row>
    <x:row r="6">
      <x:c r="A6" t="str">
        <x:v>SIBAU-BSAI</x:v>
      </x:c>
      <x:c r="B6" t="str">
        <x:v>BS Artificial Intelligence</x:v>
      </x:c>
      <x:c r="C6" t="n">
        <x:f>SUM(Program_Master!I6:Q6)</x:f>
        <x:v>100</x:v>
      </x:c>
      <x:c r="D6" t="n">
        <x:f>SUM(Program_Master!R6:W6)</x:f>
        <x:v>100</x:v>
      </x:c>
      <x:c r="E6" t="n">
        <x:f>SUM(Program_Master!X6:AH6)</x:f>
        <x:v>100</x:v>
      </x:c>
      <x:c r="F6" t="str">
        <x:f>IF(AND(C6=100,D6=100,E6=100),"OK","CHECK")</x:f>
        <x:v>OK</x:v>
      </x:c>
    </x:row>
    <x:row r="7">
      <x:c r="A7" t="str">
        <x:v>SIBAU-BSAF</x:v>
      </x:c>
      <x:c r="B7" t="str">
        <x:v>BS Accounting &amp; Finance</x:v>
      </x:c>
      <x:c r="C7" t="n">
        <x:f>SUM(Program_Master!I7:Q7)</x:f>
        <x:v>100</x:v>
      </x:c>
      <x:c r="D7" t="n">
        <x:f>SUM(Program_Master!R7:W7)</x:f>
        <x:v>100</x:v>
      </x:c>
      <x:c r="E7" t="n">
        <x:f>SUM(Program_Master!X7:AH7)</x:f>
        <x:v>100</x:v>
      </x:c>
      <x:c r="F7" t="str">
        <x:f>IF(AND(C7=100,D7=100,E7=100),"OK","CHECK")</x:f>
        <x:v>OK</x:v>
      </x:c>
    </x:row>
    <x:row r="8">
      <x:c r="A8" t="str">
        <x:v>SIBAU-BSECO</x:v>
      </x:c>
      <x:c r="B8" t="str">
        <x:v>BS Economics</x:v>
      </x:c>
      <x:c r="C8" t="n">
        <x:f>SUM(Program_Master!I8:Q8)</x:f>
        <x:v>100</x:v>
      </x:c>
      <x:c r="D8" t="n">
        <x:f>SUM(Program_Master!R8:W8)</x:f>
        <x:v>100</x:v>
      </x:c>
      <x:c r="E8" t="n">
        <x:f>SUM(Program_Master!X8:AH8)</x:f>
        <x:v>100</x:v>
      </x:c>
      <x:c r="F8" t="str">
        <x:f>IF(AND(C8=100,D8=100,E8=100),"OK","CHECK")</x:f>
        <x:v>OK</x:v>
      </x:c>
    </x:row>
    <x:row r="9">
      <x:c r="A9" t="str">
        <x:v>SIBAU-BSMATH</x:v>
      </x:c>
      <x:c r="B9" t="str">
        <x:v>BS Mathematics</x:v>
      </x:c>
      <x:c r="C9" t="n">
        <x:f>SUM(Program_Master!I9:Q9)</x:f>
        <x:v>100</x:v>
      </x:c>
      <x:c r="D9" t="n">
        <x:f>SUM(Program_Master!R9:W9)</x:f>
        <x:v>100</x:v>
      </x:c>
      <x:c r="E9" t="n">
        <x:f>SUM(Program_Master!X9:AH9)</x:f>
        <x:v>100</x:v>
      </x:c>
      <x:c r="F9" t="str">
        <x:f>IF(AND(C9=100,D9=100,E9=100),"OK","CHECK")</x:f>
        <x:v>OK</x:v>
      </x:c>
    </x:row>
    <x:row r="10">
      <x:c r="A10" t="str">
        <x:v>SIBAU-BSMC</x:v>
      </x:c>
      <x:c r="B10" t="str">
        <x:v>BS Media &amp; Communication</x:v>
      </x:c>
      <x:c r="C10" t="n">
        <x:f>SUM(Program_Master!I10:Q10)</x:f>
        <x:v>100</x:v>
      </x:c>
      <x:c r="D10" t="n">
        <x:f>SUM(Program_Master!R10:W10)</x:f>
        <x:v>100</x:v>
      </x:c>
      <x:c r="E10" t="n">
        <x:f>SUM(Program_Master!X10:AH10)</x:f>
        <x:v>100</x:v>
      </x:c>
      <x:c r="F10" t="str">
        <x:f>IF(AND(C10=100,D10=100,E10=100),"OK","CHECK")</x:f>
        <x:v>OK</x:v>
      </x:c>
    </x:row>
    <x:row r="11">
      <x:c r="A11" t="str">
        <x:v>SIBAU-BSPESS</x:v>
      </x:c>
      <x:c r="B11" t="str">
        <x:v>BS Physical Education &amp; Sports Sciences</x:v>
      </x:c>
      <x:c r="C11" t="n">
        <x:f>SUM(Program_Master!I11:Q11)</x:f>
        <x:v>100</x:v>
      </x:c>
      <x:c r="D11" t="n">
        <x:f>SUM(Program_Master!R11:W11)</x:f>
        <x:v>100</x:v>
      </x:c>
      <x:c r="E11" t="n">
        <x:f>SUM(Program_Master!X11:AH11)</x:f>
        <x:v>100</x:v>
      </x:c>
      <x:c r="F11" t="str">
        <x:f>IF(AND(C11=100,D11=100,E11=100),"OK","CHECK")</x:f>
        <x:v>OK</x:v>
      </x:c>
    </x:row>
    <x:row r="12">
      <x:c r="A12" t="str">
        <x:v>SIBAU-ADPESS</x:v>
      </x:c>
      <x:c r="B12" t="str">
        <x:v>Associate Degree in Physical Education &amp; Sports Sciences</x:v>
      </x:c>
      <x:c r="C12" t="n">
        <x:f>SUM(Program_Master!I12:Q12)</x:f>
        <x:v>100</x:v>
      </x:c>
      <x:c r="D12" t="n">
        <x:f>SUM(Program_Master!R12:W12)</x:f>
        <x:v>100</x:v>
      </x:c>
      <x:c r="E12" t="n">
        <x:f>SUM(Program_Master!X12:AH12)</x:f>
        <x:v>100</x:v>
      </x:c>
      <x:c r="F12" t="str">
        <x:f>IF(AND(C12=100,D12=100,E12=100),"OK","CHECK")</x:f>
        <x:v>OK</x:v>
      </x:c>
    </x:row>
    <x:row r="13">
      <x:c r="A13" t="str">
        <x:v>SIBAU-BEEE</x:v>
      </x:c>
      <x:c r="B13" t="str">
        <x:v>BE Electrical Engineering</x:v>
      </x:c>
      <x:c r="C13" t="n">
        <x:f>SUM(Program_Master!I13:Q13)</x:f>
        <x:v>100</x:v>
      </x:c>
      <x:c r="D13" t="n">
        <x:f>SUM(Program_Master!R13:W13)</x:f>
        <x:v>100</x:v>
      </x:c>
      <x:c r="E13" t="n">
        <x:f>SUM(Program_Master!X13:AH13)</x:f>
        <x:v>100</x:v>
      </x:c>
      <x:c r="F13" t="str">
        <x:f>IF(AND(C13=100,D13=100,E13=100),"OK","CHECK")</x:f>
        <x:v>OK</x:v>
      </x:c>
    </x:row>
    <x:row r="14">
      <x:c r="A14" t="str">
        <x:v>SIBAU-BECSE</x:v>
      </x:c>
      <x:c r="B14" t="str">
        <x:v>BE Computer Systems Engineering</x:v>
      </x:c>
      <x:c r="C14" t="n">
        <x:f>SUM(Program_Master!I14:Q14)</x:f>
        <x:v>100</x:v>
      </x:c>
      <x:c r="D14" t="n">
        <x:f>SUM(Program_Master!R14:W14)</x:f>
        <x:v>100</x:v>
      </x:c>
      <x:c r="E14" t="n">
        <x:f>SUM(Program_Master!X14:AH14)</x:f>
        <x:v>100</x:v>
      </x:c>
      <x:c r="F14" t="str">
        <x:f>IF(AND(C14=100,D14=100,E14=100),"OK","CHECK")</x:f>
        <x:v>OK</x:v>
      </x:c>
    </x:row>
    <x:row r="15">
      <x:c r="A15" t="str">
        <x:v>SIBAU-BEDH</x:v>
      </x:c>
      <x:c r="B15" t="str">
        <x:v>B.Ed (Hons)</x:v>
      </x:c>
      <x:c r="C15" t="n">
        <x:f>SUM(Program_Master!I15:Q15)</x:f>
        <x:v>100</x:v>
      </x:c>
      <x:c r="D15" t="n">
        <x:f>SUM(Program_Master!R15:W15)</x:f>
        <x:v>100</x:v>
      </x:c>
      <x:c r="E15" t="n">
        <x:f>SUM(Program_Master!X15:AH15)</x:f>
        <x:v>100</x:v>
      </x:c>
      <x:c r="F15" t="str">
        <x:f>IF(AND(C15=100,D15=100,E15=100),"OK","CHECK")</x:f>
        <x:v>OK</x:v>
      </x:c>
    </x:row>
  </x:sheetData>
  <x:conditionalFormatting sqref="F2:F15">
    <x:cfRule type="expression" dxfId="0" priority="1">
      <x:formula>F2="CHECK"</x:formula>
    </x:cfRule>
    <x:cfRule type="expression" dxfId="1" priority="2">
      <x:formula>F2="OK"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58" hidden="0" customWidth="1"/>
  </x:cols>
  <x:sheetData>
    <x:row r="1">
      <x:c r="A1" s="6" t="str">
        <x:v>Section</x:v>
      </x:c>
      <x:c r="B1" s="6" t="str">
        <x:v>Rule / Formula</x:v>
      </x:c>
      <x:c r="C1" s="6" t="str">
        <x:v>Recommended MVP Setting</x:v>
      </x:c>
    </x:row>
    <x:row r="2">
      <x:c r="A2" s="12" t="str">
        <x:v>Eligibility</x:v>
      </x:c>
      <x:c r="B2" s="12" t="str">
        <x:v>Check hard rules before calculating suitability.</x:v>
      </x:c>
      <x:c r="C2" s="12" t="str">
        <x:v>Required group, required subject and minimum overall percentage must be satisfied.</x:v>
      </x:c>
    </x:row>
    <x:row r="3">
      <x:c r="A3" s="12" t="str">
        <x:v>Academic Score</x:v>
      </x:c>
      <x:c r="B3" s="12" t="str">
        <x:v>Weighted average of available subject percentages.</x:v>
      </x:c>
      <x:c r="C3" s="12" t="str">
        <x:v>AcademicScore = SUM(subject_percentage × subject_weight) / SUM(applicable weights)</x:v>
      </x:c>
    </x:row>
    <x:row r="4">
      <x:c r="A4" s="12" t="str">
        <x:v>Interest Score</x:v>
      </x:c>
      <x:c r="B4" s="12" t="str">
        <x:v>Weighted average of Likert-based interest dimensions converted to 0–100.</x:v>
      </x:c>
      <x:c r="C4" s="12" t="str">
        <x:v>InterestScore = SUM(interest_dimension × weight) / 100</x:v>
      </x:c>
    </x:row>
    <x:row r="5">
      <x:c r="A5" s="12" t="str">
        <x:v>Aptitude Score</x:v>
      </x:c>
      <x:c r="B5" s="12" t="str">
        <x:v>Weighted average of aptitude dimensions converted to 0–100.</x:v>
      </x:c>
      <x:c r="C5" s="12" t="str">
        <x:v>AptitudeScore = SUM(aptitude_dimension × weight) / 100</x:v>
      </x:c>
    </x:row>
    <x:row r="6">
      <x:c r="A6" s="12" t="str">
        <x:v>Final Score</x:v>
      </x:c>
      <x:c r="B6" s="12" t="str">
        <x:v>Combine suitability components after eligibility check.</x:v>
      </x:c>
      <x:c r="C6" s="12" t="str">
        <x:v>FinalScore = AcademicScore×0.50 + InterestScore×0.30 + AptitudeScore×0.20</x:v>
      </x:c>
    </x:row>
    <x:row r="7">
      <x:c r="A7" s="12" t="str">
        <x:v>Ranking</x:v>
      </x:c>
      <x:c r="B7" s="12" t="str">
        <x:v>Sort eligible programs by Final Score descending.</x:v>
      </x:c>
      <x:c r="C7" s="12" t="str">
        <x:v>Top 5 programs</x:v>
      </x:c>
    </x:row>
    <x:row r="8">
      <x:c r="A8" s="12" t="str">
        <x:v>Conditionally Eligible</x:v>
      </x:c>
      <x:c r="B8" s="12" t="str">
        <x:v>Use where policy may permit an alternative/equivalence but needs verification.</x:v>
      </x:c>
      <x:c r="C8" s="12" t="str">
        <x:v>Show warning and official source link.</x:v>
      </x:c>
    </x:row>
    <x:row r="9">
      <x:c r="A9" s="12" t="str">
        <x:v>Not Eligible</x:v>
      </x:c>
      <x:c r="B9" s="12" t="str">
        <x:v>Hard prerequisite is not met.</x:v>
      </x:c>
      <x:c r="C9" s="12" t="str">
        <x:v>Do not hide; display under Alternative Pathways.</x:v>
      </x:c>
    </x:row>
    <x:row r="10">
      <x:c r="A10" s="12" t="str">
        <x:v>Missing Subject</x:v>
      </x:c>
      <x:c r="B10" s="12" t="str">
        <x:v>Do not treat a non-studied subject as zero automatically.</x:v>
      </x:c>
      <x:c r="C10" s="12" t="str">
        <x:v>Re-normalize only preferred weights; never bypass a required subject.</x:v>
      </x:c>
    </x:row>
    <x:row r="11">
      <x:c r="A11" s="12" t="str">
        <x:v>Source Control</x:v>
      </x:c>
      <x:c r="B11" s="12" t="str">
        <x:v>Admission rules may change annually.</x:v>
      </x:c>
      <x:c r="C11" s="12" t="str">
        <x:v>Store Source URL, Last Verified and Applicable Admission Year.</x:v>
      </x:c>
    </x:row>
    <x:row r="12">
      <x:c r="A12" s="12" t="str">
        <x:v>Important</x:v>
      </x:c>
      <x:c r="B12" s="12" t="str">
        <x:v>Weights in this workbook are recommendation-model assumptions, not official university weightages.</x:v>
      </x:c>
      <x:c r="C12" s="12" t="str">
        <x:v>Review them with faculty/career-counselling experts before production use.</x:v>
      </x:c>
    </x:row>
    <x:row r="13">
      <x:c r="A13" s="48" t="str">
        <x:v>Spreadsheet Testing</x:v>
      </x:c>
      <x:c r="B13" s="31" t="str">
        <x:v>Use six representative profiles before coding.</x:v>
      </x:c>
      <x:c r="C13" s="32" t="str">
        <x:v>See Student_Test_Profiles, Recommendation_Test, Expected_Results and Test_Summary.</x:v>
      </x:c>
    </x:row>
    <x:row r="14">
      <x:c r="A14" s="49" t="str">
        <x:v>Institutional Fit</x:v>
      </x:c>
      <x:c r="B14" s="34" t="str">
        <x:v>A high-interest profile may have no close program in the institution.</x:v>
      </x:c>
      <x:c r="C14" s="35" t="str">
        <x:v>Show an explicit warning instead of forcing a misleading 'best match'.</x:v>
      </x:c>
    </x:row>
    <x:row r="15">
      <x:c r="A15" s="49" t="str">
        <x:v>Eligible Ranking</x:v>
      </x:c>
      <x:c r="B15" s="34" t="str">
        <x:v>Rank only programs marked Eligible.</x:v>
      </x:c>
      <x:c r="C15" s="35" t="str">
        <x:v>Verification Required programs remain visible but do not receive an eligible rank.</x:v>
      </x:c>
    </x:row>
    <x:row r="16">
      <x:c r="A16" s="49" t="str">
        <x:v>Preferred Missing Subject</x:v>
      </x:c>
      <x:c r="B16" s="34" t="str">
        <x:v>Re-normalize academic weights across available preferred subjects.</x:v>
      </x:c>
      <x:c r="C16" s="35" t="str">
        <x:v>Never use re-normalization to bypass a missing required subject.</x:v>
      </x:c>
    </x:row>
    <x:row r="17">
      <x:c r="A17" s="49" t="str">
        <x:v>Confidence</x:v>
      </x:c>
      <x:c r="B17" s="34" t="str">
        <x:v>High when marks, interests and aptitude align; lower when they conflict.</x:v>
      </x:c>
      <x:c r="C17" s="35" t="str">
        <x:v>TEST-F is included to check low-confidence behaviour.</x:v>
      </x:c>
    </x:row>
    <x:row r="18">
      <x:c r="A18" s="50" t="str">
        <x:v>MVP Test Exit</x:v>
      </x:c>
      <x:c r="B18" s="37" t="str">
        <x:v>Coding starts only after manual review of expected versus calculated outputs.</x:v>
      </x:c>
      <x:c r="C18" s="38" t="str">
        <x:v>Document any weight changes and why they were made.</x:v>
      </x:c>
    </x:row>
    <x:row r="19">
      <x:c r="A19" s="55" t="str">
        <x:v>Pre-Medical Eligibility</x:v>
      </x:c>
      <x:c r="B19" s="12" t="str">
        <x:v>Under the working rule used in this workbook, Pre-Medical students are eligible for all SIBAU degree programs except BE Electrical Engineering and BE Computer Systems Engineering.</x:v>
      </x:c>
      <x:c r="C19" s="12" t="str">
        <x:v>Do not treat missing Mathematics as a hard eligibility failure for BS CS, BS Software Engineering, BS AI, BS Mathematics or other non-engineering programs.</x:v>
      </x:c>
    </x:row>
    <x:row r="20">
      <x:c r="A20" s="55" t="str">
        <x:v>Restricted Engineering Exception</x:v>
      </x:c>
      <x:c r="B20" s="12" t="str">
        <x:v>BE Electrical Engineering remains restricted to Pre-Engineering; BE Computer Systems Engineering remains restricted to Pre-Engineering or ICS.</x:v>
      </x:c>
      <x:c r="C20" s="12" t="str">
        <x:v>Apply their existing overall and subject thresholds before ranking.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5" hidden="0" customWidth="1"/>
    <x:col min="4" max="4" width="55" hidden="0" customWidth="1"/>
  </x:cols>
  <x:sheetData>
    <x:row r="1">
      <x:c r="A1" s="6" t="str">
        <x:v>Topic</x:v>
      </x:c>
      <x:c r="B1" s="6" t="str">
        <x:v>Source URL</x:v>
      </x:c>
      <x:c r="C1" s="6" t="str">
        <x:v>What it supports</x:v>
      </x:c>
      <x:c r="D1" s="6" t="str">
        <x:v>Caution</x:v>
      </x:c>
    </x:row>
    <x:row r="2">
      <x:c r="A2" s="12" t="str">
        <x:v>Current undergraduate program list</x:v>
      </x:c>
      <x:c r="B2" s="12" t="str">
        <x:v>https://www.iba-suk.edu.pk/admissions/under-graduate-programs</x:v>
      </x:c>
      <x:c r="C2" s="12" t="str">
        <x:v>Lists BBA, Agribusiness, CS, SE, AI, A&amp;F, Economics, Mathematics, Media, Physical Education, Electrical Engineering, Computer Systems Engineering and Education programs.</x:v>
      </x:c>
      <x:c r="D2" s="12" t="str">
        <x:v>The website may contain legacy and current items together; compare with the active admission advertisement.</x:v>
      </x:c>
    </x:row>
    <x:row r="3">
      <x:c r="A3" s="12" t="str">
        <x:v>2026 admission announcements</x:v>
      </x:c>
      <x:c r="B3" s="12" t="str">
        <x:v>https://www.iba-suk.edu.pk/admissions/announcements</x:v>
      </x:c>
      <x:c r="C3" s="12" t="str">
        <x:v>Confirms that undergraduate admission announcements are active for 2026.</x:v>
      </x:c>
      <x:c r="D3" s="12" t="str">
        <x:v>Use the attached 2026 advertisement/eligibility PDF as the final authority before launch.</x:v>
      </x:c>
    </x:row>
    <x:row r="4">
      <x:c r="A4" s="12" t="str">
        <x:v>BBA eligibility</x:v>
      </x:c>
      <x:c r="B4" s="12" t="str">
        <x:v>https://www.iba-suk.edu.pk/offered-programs/bba</x:v>
      </x:c>
      <x:c r="C4" s="12" t="str">
        <x:v>Minimum 50% Intermediate/F.Sc and equivalent routes.</x:v>
      </x:c>
      <x:c r="D4" s="12" t="str">
        <x:v>Also requires the university admission process.</x:v>
      </x:c>
    </x:row>
    <x:row r="5">
      <x:c r="A5" s="12" t="str">
        <x:v>Agribusiness eligibility</x:v>
      </x:c>
      <x:c r="B5" s="12" t="str">
        <x:v>https://www.iba-suk.edu.pk/offered-programs/agri-business</x:v>
      </x:c>
      <x:c r="C5" s="12" t="str">
        <x:v>Diverse backgrounds and minimum 50%.</x:v>
      </x:c>
      <x:c r="D5" s="12" t="str">
        <x:v>Joint-program arrangements should be rechecked for the current intake.</x:v>
      </x:c>
    </x:row>
    <x:row r="6">
      <x:c r="A6" s="12" t="str">
        <x:v>BS Computer Science</x:v>
      </x:c>
      <x:c r="B6" s="12" t="str">
        <x:v>https://www.iba-suk.edu.pk/offered-programs/computer-science</x:v>
      </x:c>
      <x:c r="C6" s="12" t="str">
        <x:v>Program description and minimum 50% general eligibility.</x:v>
      </x:c>
      <x:c r="D6" s="12" t="str">
        <x:v>The recommendation model's Mathematics preference is not stated as an official subject cutoff on this page.</x:v>
      </x:c>
    </x:row>
    <x:row r="7">
      <x:c r="A7" s="12" t="str">
        <x:v>BE Computer Systems Engineering</x:v>
      </x:c>
      <x:c r="B7" s="12" t="str">
        <x:v>https://www.iba-suk.edu.pk/CSE/ElgCriteria</x:v>
      </x:c>
      <x:c r="C7" s="12" t="str">
        <x:v>60% in Pre-Engineering or ICS; admission test/process.</x:v>
      </x:c>
      <x:c r="D7" s="12" t="str">
        <x:v>Use exact current wording in production.</x:v>
      </x:c>
    </x:row>
    <x:row r="8">
      <x:c r="A8" s="12" t="str">
        <x:v>Engineering and Mathematics general eligibility</x:v>
      </x:c>
      <x:c r="B8" s="12" t="str">
        <x:v>https://nthp.iba-suk.edu.pk/Admission/EligibilityCriteria</x:v>
      </x:c>
      <x:c r="C8" s="12" t="str">
        <x:v>Engineering: Pre-Engineering with 60%; BS Mathematics: Pre-Engineering with 50%; BA/BS/B.Ed: 50%.</x:v>
      </x:c>
      <x:c r="D8" s="12" t="str">
        <x:v>NTHP page is an official university source but should still be reconciled with the main 2026 advertisement.</x:v>
      </x:c>
    </x:row>
    <x:row r="9">
      <x:c r="A9" s="12" t="str">
        <x:v>Physical Education eligibility</x:v>
      </x:c>
      <x:c r="B9" s="12" t="str">
        <x:v>https://www.iba-suk.edu.pk/Content/pdf/home/SIBA-Student-Handbook-2020-21_Updated.pdf</x:v>
      </x:c>
      <x:c r="C9" s="12" t="str">
        <x:v>Diverse Intermediate groups with minimum 50% for BS and AD Physical Education.</x:v>
      </x:c>
      <x:c r="D9" s="12" t="str">
        <x:v>Older handbook; verify whether both programs are open in the current intake.</x:v>
      </x:c>
    </x:row>
    <x:row r="10">
      <x:c r="A10" s="56" t="str">
        <x:v>Working Pre-Medical eligibility rule</x:v>
      </x:c>
      <x:c r="B10" s="57" t="str">
        <x:v>User-confirmed project rule</x:v>
      </x:c>
      <x:c r="C10" s="57" t="str">
        <x:v>Pre-Medical students are treated as eligible for all SIBAU degree programs except BE Electrical Engineering and BE Computer Systems Engineering.</x:v>
      </x:c>
      <x:c r="D10" s="58" t="str">
        <x:v>Before production launch, reconcile this working rule with the active SIBAU admission advertisement for the relevant intake.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32" hidden="0" customWidth="1"/>
    <x:col min="5" max="5" width="3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32" hidden="0" customWidth="1"/>
  </x:cols>
  <x:sheetData>
    <x:row r="1">
      <x:c r="A1" s="21" t="str">
        <x:v>Test ID</x:v>
      </x:c>
      <x:c r="B1" s="21" t="str">
        <x:v>Profile Name</x:v>
      </x:c>
      <x:c r="C1" s="21" t="str">
        <x:v>Intermediate Group</x:v>
      </x:c>
      <x:c r="D1" s="21" t="str">
        <x:v>Profile Purpose</x:v>
      </x:c>
      <x:c r="E1" s="21" t="str">
        <x:v>Expected Institutional Fit</x:v>
      </x:c>
      <x:c r="F1" s="21" t="str">
        <x:v>Mathematics</x:v>
      </x:c>
      <x:c r="G1" s="21" t="str">
        <x:v>Physics</x:v>
      </x:c>
      <x:c r="H1" s="21" t="str">
        <x:v>Computer Science</x:v>
      </x:c>
      <x:c r="I1" s="21" t="str">
        <x:v>English</x:v>
      </x:c>
      <x:c r="J1" s="21" t="str">
        <x:v>Biology</x:v>
      </x:c>
      <x:c r="K1" s="21" t="str">
        <x:v>Chemistry</x:v>
      </x:c>
      <x:c r="L1" s="21" t="str">
        <x:v>Accounting</x:v>
      </x:c>
      <x:c r="M1" s="21" t="str">
        <x:v>Economics</x:v>
      </x:c>
      <x:c r="N1" s="21" t="str">
        <x:v>General/Other</x:v>
      </x:c>
      <x:c r="O1" s="21" t="str">
        <x:v>Coding Interest</x:v>
      </x:c>
      <x:c r="P1" s="21" t="str">
        <x:v>Technology Interest</x:v>
      </x:c>
      <x:c r="Q1" s="21" t="str">
        <x:v>Problem Solving Interest</x:v>
      </x:c>
      <x:c r="R1" s="21" t="str">
        <x:v>Business Interest</x:v>
      </x:c>
      <x:c r="S1" s="21" t="str">
        <x:v>Agriculture Interest</x:v>
      </x:c>
      <x:c r="T1" s="21" t="str">
        <x:v>Finance Interest</x:v>
      </x:c>
      <x:c r="U1" s="21" t="str">
        <x:v>Media/Creative Interest</x:v>
      </x:c>
      <x:c r="V1" s="21" t="str">
        <x:v>Teaching Interest</x:v>
      </x:c>
      <x:c r="W1" s="21" t="str">
        <x:v>Sports/Fitness Interest</x:v>
      </x:c>
      <x:c r="X1" s="21" t="str">
        <x:v>Engineering/Hardware Interest</x:v>
      </x:c>
      <x:c r="Y1" s="21" t="str">
        <x:v>Mathematics/Research Interest</x:v>
      </x:c>
      <x:c r="Z1" s="21" t="str">
        <x:v>Logical Aptitude</x:v>
      </x:c>
      <x:c r="AA1" s="21" t="str">
        <x:v>Numerical Aptitude</x:v>
      </x:c>
      <x:c r="AB1" s="21" t="str">
        <x:v>Verbal/Communication Aptitude</x:v>
      </x:c>
      <x:c r="AC1" s="21" t="str">
        <x:v>Creative Aptitude</x:v>
      </x:c>
      <x:c r="AD1" s="21" t="str">
        <x:v>Spatial/Technical Aptitude</x:v>
      </x:c>
      <x:c r="AE1" s="21" t="str">
        <x:v>Leadership/Social Aptitude</x:v>
      </x:c>
      <x:c r="AF1" s="21" t="str">
        <x:v>Calculated Academic Average</x:v>
      </x:c>
      <x:c r="AG1" s="21" t="str">
        <x:v>Notes</x:v>
      </x:c>
    </x:row>
    <x:row r="2">
      <x:c r="A2" s="12" t="str">
        <x:v>TEST-A</x:v>
      </x:c>
      <x:c r="B2" s="12" t="str">
        <x:v>Strong Computing Student</x:v>
      </x:c>
      <x:c r="C2" s="12" t="str">
        <x:v>ICS</x:v>
      </x:c>
      <x:c r="D2" s="12" t="str">
        <x:v>Marks, interests and aptitude all point toward computing.</x:v>
      </x:c>
      <x:c r="E2" s="12" t="str">
        <x:v>Strong</x:v>
      </x:c>
      <x:c r="F2" s="22" t="n">
        <x:v>90</x:v>
      </x:c>
      <x:c r="G2" s="22" t="n">
        <x:v>75</x:v>
      </x:c>
      <x:c r="H2" s="22" t="n">
        <x:v>88</x:v>
      </x:c>
      <x:c r="I2" s="22" t="n">
        <x:v>72</x:v>
      </x:c>
      <x:c r="J2" s="22"/>
      <x:c r="K2" s="22"/>
      <x:c r="L2" s="22"/>
      <x:c r="M2" s="22"/>
      <x:c r="N2" s="22" t="n">
        <x:v>70</x:v>
      </x:c>
      <x:c r="O2" s="22" t="n">
        <x:v>95</x:v>
      </x:c>
      <x:c r="P2" s="22" t="n">
        <x:v>90</x:v>
      </x:c>
      <x:c r="Q2" s="22" t="n">
        <x:v>85</x:v>
      </x:c>
      <x:c r="R2" s="22" t="n">
        <x:v>35</x:v>
      </x:c>
      <x:c r="S2" s="22" t="n">
        <x:v>20</x:v>
      </x:c>
      <x:c r="T2" s="22" t="n">
        <x:v>30</x:v>
      </x:c>
      <x:c r="U2" s="22" t="n">
        <x:v>30</x:v>
      </x:c>
      <x:c r="V2" s="22" t="n">
        <x:v>35</x:v>
      </x:c>
      <x:c r="W2" s="22" t="n">
        <x:v>40</x:v>
      </x:c>
      <x:c r="X2" s="22" t="n">
        <x:v>55</x:v>
      </x:c>
      <x:c r="Y2" s="22" t="n">
        <x:v>82</x:v>
      </x:c>
      <x:c r="Z2" s="22" t="n">
        <x:v>88</x:v>
      </x:c>
      <x:c r="AA2" s="22" t="n">
        <x:v>84</x:v>
      </x:c>
      <x:c r="AB2" s="22" t="n">
        <x:v>72</x:v>
      </x:c>
      <x:c r="AC2" s="22" t="n">
        <x:v>55</x:v>
      </x:c>
      <x:c r="AD2" s="22" t="n">
        <x:v>76</x:v>
      </x:c>
      <x:c r="AE2" s="22" t="n">
        <x:v>65</x:v>
      </x:c>
      <x:c r="AF2" s="22" t="n">
        <x:f>IFERROR(AVERAGE(F2:N2),"")</x:f>
        <x:v>79</x:v>
      </x:c>
      <x:c r="AG2" s="12" t="str">
        <x:v>Expected top cluster: BS Computer Science, BS Software Engineering, BS Artificial Intelligence, BE Computer Systems Engineering.</x:v>
      </x:c>
    </x:row>
    <x:row r="3">
      <x:c r="A3" s="12" t="str">
        <x:v>TEST-B</x:v>
      </x:c>
      <x:c r="B3" s="12" t="str">
        <x:v>Biology and Health-Oriented Student</x:v>
      </x:c>
      <x:c r="C3" s="12" t="str">
        <x:v>Pre-Medical</x:v>
      </x:c>
      <x:c r="D3" s="12" t="str">
        <x:v>Strong health profile, but SIBAU has no medical or clinical degree.</x:v>
      </x:c>
      <x:c r="E3" s="12" t="str">
        <x:v>Poor/Alternative</x:v>
      </x:c>
      <x:c r="F3" s="22"/>
      <x:c r="G3" s="22" t="n">
        <x:v>78</x:v>
      </x:c>
      <x:c r="H3" s="22"/>
      <x:c r="I3" s="22" t="n">
        <x:v>74</x:v>
      </x:c>
      <x:c r="J3" s="22" t="n">
        <x:v>90</x:v>
      </x:c>
      <x:c r="K3" s="22" t="n">
        <x:v>84</x:v>
      </x:c>
      <x:c r="L3" s="22"/>
      <x:c r="M3" s="22"/>
      <x:c r="N3" s="22" t="n">
        <x:v>72</x:v>
      </x:c>
      <x:c r="O3" s="22" t="n">
        <x:v>20</x:v>
      </x:c>
      <x:c r="P3" s="22" t="n">
        <x:v>35</x:v>
      </x:c>
      <x:c r="Q3" s="22" t="n">
        <x:v>55</x:v>
      </x:c>
      <x:c r="R3" s="22" t="n">
        <x:v>45</x:v>
      </x:c>
      <x:c r="S3" s="22" t="n">
        <x:v>25</x:v>
      </x:c>
      <x:c r="T3" s="22" t="n">
        <x:v>20</x:v>
      </x:c>
      <x:c r="U3" s="22" t="n">
        <x:v>25</x:v>
      </x:c>
      <x:c r="V3" s="22" t="n">
        <x:v>65</x:v>
      </x:c>
      <x:c r="W3" s="22" t="n">
        <x:v>75</x:v>
      </x:c>
      <x:c r="X3" s="22" t="n">
        <x:v>20</x:v>
      </x:c>
      <x:c r="Y3" s="22" t="n">
        <x:v>35</x:v>
      </x:c>
      <x:c r="Z3" s="22" t="n">
        <x:v>60</x:v>
      </x:c>
      <x:c r="AA3" s="22" t="n">
        <x:v>58</x:v>
      </x:c>
      <x:c r="AB3" s="22" t="n">
        <x:v>75</x:v>
      </x:c>
      <x:c r="AC3" s="22" t="n">
        <x:v>55</x:v>
      </x:c>
      <x:c r="AD3" s="22" t="n">
        <x:v>48</x:v>
      </x:c>
      <x:c r="AE3" s="22" t="n">
        <x:v>70</x:v>
      </x:c>
      <x:c r="AF3" s="22" t="n">
        <x:f>IFERROR(AVERAGE(F3:N3),"")</x:f>
        <x:v>79.6</x:v>
      </x:c>
      <x:c r="AG3" s="12" t="str">
        <x:v>The app should display an institutional-fit warning and label SIBAU results as alternatives.</x:v>
      </x:c>
    </x:row>
    <x:row r="4">
      <x:c r="A4" s="12" t="str">
        <x:v>TEST-C</x:v>
      </x:c>
      <x:c r="B4" s="12" t="str">
        <x:v>Commerce and Finance Student</x:v>
      </x:c>
      <x:c r="C4" s="12" t="str">
        <x:v>Commerce</x:v>
      </x:c>
      <x:c r="D4" s="12" t="str">
        <x:v>Academic profile and preferences point toward finance, economics and business.</x:v>
      </x:c>
      <x:c r="E4" s="12" t="str">
        <x:v>Strong</x:v>
      </x:c>
      <x:c r="F4" s="22" t="n">
        <x:v>82</x:v>
      </x:c>
      <x:c r="G4" s="22"/>
      <x:c r="H4" s="22"/>
      <x:c r="I4" s="22" t="n">
        <x:v>75</x:v>
      </x:c>
      <x:c r="J4" s="22"/>
      <x:c r="K4" s="22"/>
      <x:c r="L4" s="22" t="n">
        <x:v>89</x:v>
      </x:c>
      <x:c r="M4" s="22" t="n">
        <x:v>80</x:v>
      </x:c>
      <x:c r="N4" s="22" t="n">
        <x:v>74</x:v>
      </x:c>
      <x:c r="O4" s="22" t="n">
        <x:v>15</x:v>
      </x:c>
      <x:c r="P4" s="22" t="n">
        <x:v>25</x:v>
      </x:c>
      <x:c r="Q4" s="22" t="n">
        <x:v>72</x:v>
      </x:c>
      <x:c r="R4" s="22" t="n">
        <x:v>88</x:v>
      </x:c>
      <x:c r="S4" s="22" t="n">
        <x:v>25</x:v>
      </x:c>
      <x:c r="T4" s="22" t="n">
        <x:v>92</x:v>
      </x:c>
      <x:c r="U4" s="22" t="n">
        <x:v>25</x:v>
      </x:c>
      <x:c r="V4" s="22" t="n">
        <x:v>35</x:v>
      </x:c>
      <x:c r="W4" s="22" t="n">
        <x:v>20</x:v>
      </x:c>
      <x:c r="X4" s="22" t="n">
        <x:v>15</x:v>
      </x:c>
      <x:c r="Y4" s="22" t="n">
        <x:v>65</x:v>
      </x:c>
      <x:c r="Z4" s="22" t="n">
        <x:v>72</x:v>
      </x:c>
      <x:c r="AA4" s="22" t="n">
        <x:v>85</x:v>
      </x:c>
      <x:c r="AB4" s="22" t="n">
        <x:v>74</x:v>
      </x:c>
      <x:c r="AC4" s="22" t="n">
        <x:v>45</x:v>
      </x:c>
      <x:c r="AD4" s="22" t="n">
        <x:v>50</x:v>
      </x:c>
      <x:c r="AE4" s="22" t="n">
        <x:v>78</x:v>
      </x:c>
      <x:c r="AF4" s="22" t="n">
        <x:f>IFERROR(AVERAGE(F4:N4),"")</x:f>
        <x:v>80</x:v>
      </x:c>
      <x:c r="AG4" s="12" t="str">
        <x:v>Expected top cluster: BS Accounting &amp; Finance, BS Economics, BBA, BBA Agribusiness.</x:v>
      </x:c>
    </x:row>
    <x:row r="5">
      <x:c r="A5" s="12" t="str">
        <x:v>TEST-D</x:v>
      </x:c>
      <x:c r="B5" s="12" t="str">
        <x:v>Engineering and Hardware Student</x:v>
      </x:c>
      <x:c r="C5" s="12" t="str">
        <x:v>Pre-Engineering</x:v>
      </x:c>
      <x:c r="D5" s="12" t="str">
        <x:v>High Mathematics and Physics with strong hardware and spatial aptitude.</x:v>
      </x:c>
      <x:c r="E5" s="12" t="str">
        <x:v>Strong</x:v>
      </x:c>
      <x:c r="F5" s="22" t="n">
        <x:v>88</x:v>
      </x:c>
      <x:c r="G5" s="22" t="n">
        <x:v>86</x:v>
      </x:c>
      <x:c r="H5" s="22" t="n">
        <x:v>72</x:v>
      </x:c>
      <x:c r="I5" s="22" t="n">
        <x:v>68</x:v>
      </x:c>
      <x:c r="J5" s="22"/>
      <x:c r="K5" s="22" t="n">
        <x:v>75</x:v>
      </x:c>
      <x:c r="L5" s="22"/>
      <x:c r="M5" s="22"/>
      <x:c r="N5" s="22" t="n">
        <x:v>70</x:v>
      </x:c>
      <x:c r="O5" s="22" t="n">
        <x:v>55</x:v>
      </x:c>
      <x:c r="P5" s="22" t="n">
        <x:v>72</x:v>
      </x:c>
      <x:c r="Q5" s="22" t="n">
        <x:v>88</x:v>
      </x:c>
      <x:c r="R5" s="22" t="n">
        <x:v>25</x:v>
      </x:c>
      <x:c r="S5" s="22" t="n">
        <x:v>20</x:v>
      </x:c>
      <x:c r="T5" s="22" t="n">
        <x:v>20</x:v>
      </x:c>
      <x:c r="U5" s="22" t="n">
        <x:v>15</x:v>
      </x:c>
      <x:c r="V5" s="22" t="n">
        <x:v>25</x:v>
      </x:c>
      <x:c r="W5" s="22" t="n">
        <x:v>35</x:v>
      </x:c>
      <x:c r="X5" s="22" t="n">
        <x:v>95</x:v>
      </x:c>
      <x:c r="Y5" s="22" t="n">
        <x:v>82</x:v>
      </x:c>
      <x:c r="Z5" s="22" t="n">
        <x:v>84</x:v>
      </x:c>
      <x:c r="AA5" s="22" t="n">
        <x:v>87</x:v>
      </x:c>
      <x:c r="AB5" s="22" t="n">
        <x:v>62</x:v>
      </x:c>
      <x:c r="AC5" s="22" t="n">
        <x:v>42</x:v>
      </x:c>
      <x:c r="AD5" s="22" t="n">
        <x:v>92</x:v>
      </x:c>
      <x:c r="AE5" s="22" t="n">
        <x:v>60</x:v>
      </x:c>
      <x:c r="AF5" s="22" t="n">
        <x:f>IFERROR(AVERAGE(F5:N5),"")</x:f>
        <x:v>76.5</x:v>
      </x:c>
      <x:c r="AG5" s="12" t="str">
        <x:v>Expected top cluster: BE Electrical Engineering, BE Computer Systems Engineering, BS Mathematics.</x:v>
      </x:c>
    </x:row>
    <x:row r="6">
      <x:c r="A6" s="12" t="str">
        <x:v>TEST-E</x:v>
      </x:c>
      <x:c r="B6" s="12" t="str">
        <x:v>Pre-Medical Student with Strong Computing Interest</x:v>
      </x:c>
      <x:c r="C6" s="12" t="str">
        <x:v>Pre-Medical</x:v>
      </x:c>
      <x:c r="D6" s="12" t="str">
        <x:v>Tests that Pre-Medical students remain eligible for BS CS, BS Software Engineering and BS Artificial Intelligence.</x:v>
      </x:c>
      <x:c r="E6" s="12" t="str">
        <x:v>Eligible for non-engineering programs</x:v>
      </x:c>
      <x:c r="F6" s="22"/>
      <x:c r="G6" s="22" t="n">
        <x:v>80</x:v>
      </x:c>
      <x:c r="H6" s="22" t="n">
        <x:v>85</x:v>
      </x:c>
      <x:c r="I6" s="22" t="n">
        <x:v>72</x:v>
      </x:c>
      <x:c r="J6" s="22" t="n">
        <x:v>82</x:v>
      </x:c>
      <x:c r="K6" s="22" t="n">
        <x:v>75</x:v>
      </x:c>
      <x:c r="L6" s="22"/>
      <x:c r="M6" s="22"/>
      <x:c r="N6" s="22" t="n">
        <x:v>70</x:v>
      </x:c>
      <x:c r="O6" s="22" t="n">
        <x:v>95</x:v>
      </x:c>
      <x:c r="P6" s="22" t="n">
        <x:v>92</x:v>
      </x:c>
      <x:c r="Q6" s="22" t="n">
        <x:v>90</x:v>
      </x:c>
      <x:c r="R6" s="22" t="n">
        <x:v>25</x:v>
      </x:c>
      <x:c r="S6" s="22" t="n">
        <x:v>20</x:v>
      </x:c>
      <x:c r="T6" s="22" t="n">
        <x:v>20</x:v>
      </x:c>
      <x:c r="U6" s="22" t="n">
        <x:v>20</x:v>
      </x:c>
      <x:c r="V6" s="22" t="n">
        <x:v>25</x:v>
      </x:c>
      <x:c r="W6" s="22" t="n">
        <x:v>20</x:v>
      </x:c>
      <x:c r="X6" s="22" t="n">
        <x:v>45</x:v>
      </x:c>
      <x:c r="Y6" s="22" t="n">
        <x:v>75</x:v>
      </x:c>
      <x:c r="Z6" s="22" t="n">
        <x:v>90</x:v>
      </x:c>
      <x:c r="AA6" s="22" t="n">
        <x:v>82</x:v>
      </x:c>
      <x:c r="AB6" s="22" t="n">
        <x:v>70</x:v>
      </x:c>
      <x:c r="AC6" s="22" t="n">
        <x:v>55</x:v>
      </x:c>
      <x:c r="AD6" s="22" t="n">
        <x:v>75</x:v>
      </x:c>
      <x:c r="AE6" s="22" t="n">
        <x:v>60</x:v>
      </x:c>
      <x:c r="AF6" s="22" t="n">
        <x:f>IFERROR(AVERAGE(F6:N6),"")</x:f>
        <x:v>77.33333333333333</x:v>
      </x:c>
      <x:c r="AG6" s="12" t="str">
        <x:v>BS Computer Science, BS Software Engineering and BS Artificial Intelligence should be eligible. Only BE Electrical Engineering and BE Computer Systems Engineering should remain ineligible for this Pre-Medical profile.</x:v>
      </x:c>
    </x:row>
    <x:row r="7">
      <x:c r="A7" s="12" t="str">
        <x:v>TEST-F</x:v>
      </x:c>
      <x:c r="B7" s="12" t="str">
        <x:v>Broad but Weakly Differentiated Student</x:v>
      </x:c>
      <x:c r="C7" s="12" t="str">
        <x:v>Arts/Humanities</x:v>
      </x:c>
      <x:c r="D7" s="12" t="str">
        <x:v>Moderate marks and no clearly dominant interest or aptitude.</x:v>
      </x:c>
      <x:c r="E7" s="12" t="str">
        <x:v>Low Confidence</x:v>
      </x:c>
      <x:c r="F7" s="22"/>
      <x:c r="G7" s="22"/>
      <x:c r="H7" s="22"/>
      <x:c r="I7" s="22" t="n">
        <x:v>68</x:v>
      </x:c>
      <x:c r="J7" s="22"/>
      <x:c r="K7" s="22"/>
      <x:c r="L7" s="22"/>
      <x:c r="M7" s="22" t="n">
        <x:v>58</x:v>
      </x:c>
      <x:c r="N7" s="22" t="n">
        <x:v>65</x:v>
      </x:c>
      <x:c r="O7" s="22" t="n">
        <x:v>35</x:v>
      </x:c>
      <x:c r="P7" s="22" t="n">
        <x:v>40</x:v>
      </x:c>
      <x:c r="Q7" s="22" t="n">
        <x:v>45</x:v>
      </x:c>
      <x:c r="R7" s="22" t="n">
        <x:v>50</x:v>
      </x:c>
      <x:c r="S7" s="22" t="n">
        <x:v>35</x:v>
      </x:c>
      <x:c r="T7" s="22" t="n">
        <x:v>40</x:v>
      </x:c>
      <x:c r="U7" s="22" t="n">
        <x:v>55</x:v>
      </x:c>
      <x:c r="V7" s="22" t="n">
        <x:v>55</x:v>
      </x:c>
      <x:c r="W7" s="22" t="n">
        <x:v>45</x:v>
      </x:c>
      <x:c r="X7" s="22" t="n">
        <x:v>25</x:v>
      </x:c>
      <x:c r="Y7" s="22" t="n">
        <x:v>35</x:v>
      </x:c>
      <x:c r="Z7" s="22" t="n">
        <x:v>48</x:v>
      </x:c>
      <x:c r="AA7" s="22" t="n">
        <x:v>45</x:v>
      </x:c>
      <x:c r="AB7" s="22" t="n">
        <x:v>60</x:v>
      </x:c>
      <x:c r="AC7" s="22" t="n">
        <x:v>62</x:v>
      </x:c>
      <x:c r="AD7" s="22" t="n">
        <x:v>40</x:v>
      </x:c>
      <x:c r="AE7" s="22" t="n">
        <x:v>58</x:v>
      </x:c>
      <x:c r="AF7" s="22" t="n">
        <x:f>IFERROR(AVERAGE(F7:N7),"")</x:f>
        <x:v>63.666666666666664</x:v>
      </x:c>
      <x:c r="AG7" s="12" t="str">
        <x:v>Expected result should have low confidence and avoid overstating the match.</x:v>
      </x:c>
    </x:row>
  </x:sheetData>
  <x:pageMargins left="0.7" right="0.7" top="0.75" bottom="0.75" header="0.3" footer="0.3"/>
  <x:tableParts count="1">
    <x:tablePart xmlns:r="http://schemas.openxmlformats.org/officeDocument/2006/relationships" r:id="R6d5356137e6143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5" hidden="0" customWidth="1"/>
    <x:col min="4" max="4" width="34" hidden="0" customWidth="1"/>
    <x:col min="5" max="5" width="20" hidden="0" customWidth="1"/>
    <x:col min="6" max="6" width="20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4" hidden="0" customWidth="1"/>
  </x:cols>
  <x:sheetData>
    <x:row r="1">
      <x:c r="A1" s="21" t="str">
        <x:v>Test ID</x:v>
      </x:c>
      <x:c r="B1" s="21" t="str">
        <x:v>Profile Name</x:v>
      </x:c>
      <x:c r="C1" s="21" t="str">
        <x:v>Program ID</x:v>
      </x:c>
      <x:c r="D1" s="21" t="str">
        <x:v>Program Name</x:v>
      </x:c>
      <x:c r="E1" s="21" t="str">
        <x:v>Category</x:v>
      </x:c>
      <x:c r="F1" s="21" t="str">
        <x:v>Eligibility Status</x:v>
      </x:c>
      <x:c r="G1" s="21" t="str">
        <x:v>Eligibility Explanation</x:v>
      </x:c>
      <x:c r="H1" s="21" t="str">
        <x:v>Academic Score</x:v>
      </x:c>
      <x:c r="I1" s="21" t="str">
        <x:v>Interest Score</x:v>
      </x:c>
      <x:c r="J1" s="21" t="str">
        <x:v>Aptitude Score</x:v>
      </x:c>
      <x:c r="K1" s="21" t="str">
        <x:v>Final Score</x:v>
      </x:c>
      <x:c r="L1" s="21" t="str">
        <x:v>Eligible Rank</x:v>
      </x:c>
      <x:c r="M1" s="21" t="str">
        <x:v>Recommendation Band</x:v>
      </x:c>
      <x:c r="N1" s="21" t="str">
        <x:v>Confidence/Warning</x:v>
      </x:c>
    </x:row>
    <x:row r="2">
      <x:c r="A2" s="12" t="str">
        <x:f>Student_Test_Profiles!A2</x:f>
        <x:v>TEST-A</x:v>
      </x:c>
      <x:c r="B2" s="12" t="str">
        <x:f>Student_Test_Profiles!B2</x:f>
        <x:v>Strong Computing Student</x:v>
      </x:c>
      <x:c r="C2" s="12" t="str">
        <x:f>Program_Master!A2</x:f>
        <x:v>SIBAU-BBA</x:v>
      </x:c>
      <x:c r="D2" s="12" t="str">
        <x:f>Program_Master!B2</x:f>
        <x:v>Bachelor of Business Administration (BBA)</x:v>
      </x:c>
      <x:c r="E2" s="12" t="str">
        <x:f>Program_Master!C2</x:f>
        <x:v>Business &amp; Management</x:v>
      </x:c>
      <x:c r="F2" s="12" t="str">
        <x:f>IF(Student_Test_Profiles!$AF$2&lt;Program_Master!$H$2,"Not Eligible",IF(C2="SIBAU-BEEE",IF(AND(Student_Test_Profiles!$C$2="Pre-Engineering",Student_Test_Profiles!$F$2&gt;=Program_Master!$G$2,Student_Test_Profiles!$G$2&gt;=Program_Master!$G$2),"Eligible","Not Eligible"),IF(C2="SIBAU-BECSE",IF(AND(OR(Student_Test_Profiles!$C$2="Pre-Engineering",Student_Test_Profiles!$C$2="ICS"),Student_Test_Profiles!$F$2&gt;=Program_Master!$G$2,OR(Student_Test_Profiles!$G$2&gt;=Program_Master!$G$2,Student_Test_Profiles!$H$2&gt;=Program_Master!$G$2)),"Eligible","Not Eligible"),"Eligible")))</x:f>
        <x:v>Eligible</x:v>
      </x:c>
      <x:c r="G2" s="12" t="str">
        <x:f>IF(F2="Eligible",IF(OR(C2="SIBAU-BEEE",C2="SIBAU-BECSE"),"Meets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" s="22" t="n">
        <x:f>IFERROR(SUMPRODUCT(Student_Test_Profiles!$F$2:$N$2,Program_Master!$I$2:$Q$2)/SUMPRODUCT(--(Student_Test_Profiles!$F$2:$N$2&lt;&gt;""),Program_Master!$I$2:$Q$2),"")</x:f>
        <x:v>74.53333333333333</x:v>
      </x:c>
      <x:c r="I2" s="22" t="n">
        <x:f>SUMPRODUCT(Student_Test_Profiles!$O$2:$Y$2,Program_Master!$X$2:$AH$2)/100</x:f>
        <x:v>44</x:v>
      </x:c>
      <x:c r="J2" s="22" t="n">
        <x:f>SUMPRODUCT(Student_Test_Profiles!$Z$2:$AE$2,Program_Master!$R$2:$W$2)/100</x:f>
        <x:v>72.05</x:v>
      </x:c>
      <x:c r="K2" s="22" t="n">
        <x:f>IF(F2="Eligible",H2*0.5+I2*0.3+J2*0.2,"")</x:f>
        <x:v>64.87666666666667</x:v>
      </x:c>
      <x:c r="L2" s="22" t="n">
        <x:f>IF(F2&lt;&gt;"Eligible","",1+COUNTIFS($F$2:$F$15,"Eligible",$K$2:$K$15,"&gt;"&amp;K2))</x:f>
        <x:v>11</x:v>
      </x:c>
      <x:c r="M2" s="22" t="str">
        <x:f>IF(K2="","",IF(K2&gt;=85,"Excellent Match",IF(K2&gt;=75,"Strong Match",IF(K2&gt;=65,"Good Match",IF(K2&gt;=55,"Moderate Match","Weak Match")))))</x:f>
        <x:v>Moderate Match</x:v>
      </x:c>
      <x:c r="N2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3">
      <x:c r="A3" s="12" t="str">
        <x:f>Student_Test_Profiles!A2</x:f>
        <x:v>TEST-A</x:v>
      </x:c>
      <x:c r="B3" s="12" t="str">
        <x:f>Student_Test_Profiles!B2</x:f>
        <x:v>Strong Computing Student</x:v>
      </x:c>
      <x:c r="C3" s="12" t="str">
        <x:f>Program_Master!A3</x:f>
        <x:v>SIBAU-BBA-AGRI</x:v>
      </x:c>
      <x:c r="D3" s="12" t="str">
        <x:f>Program_Master!B3</x:f>
        <x:v>BBA (Agribusiness)</x:v>
      </x:c>
      <x:c r="E3" s="12" t="str">
        <x:f>Program_Master!C3</x:f>
        <x:v>Business &amp; Agriculture</x:v>
      </x:c>
      <x:c r="F3" s="12" t="str">
        <x:f>IF(Student_Test_Profiles!$AF$2&lt;Program_Master!$H$3,"Not Eligible",IF(C3="SIBAU-BEEE",IF(AND(Student_Test_Profiles!$C$2="Pre-Engineering",Student_Test_Profiles!$F$2&gt;=Program_Master!$G$3,Student_Test_Profiles!$G$2&gt;=Program_Master!$G$3),"Eligible","Not Eligible"),IF(C3="SIBAU-BECSE",IF(AND(OR(Student_Test_Profiles!$C$2="Pre-Engineering",Student_Test_Profiles!$C$2="ICS"),Student_Test_Profiles!$F$2&gt;=Program_Master!$G$3,OR(Student_Test_Profiles!$G$2&gt;=Program_Master!$G$3,Student_Test_Profiles!$H$2&gt;=Program_Master!$G$3)),"Eligible","Not Eligible"),"Eligible")))</x:f>
        <x:v>Eligible</x:v>
      </x:c>
      <x:c r="G3" s="12" t="str">
        <x:f>IF(F3="Eligible",IF(OR(C3="SIBAU-BEEE",C3="SIBAU-BECSE"),"Meets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" s="22" t="n">
        <x:f>IFERROR(SUMPRODUCT(Student_Test_Profiles!$F$2:$N$2,Program_Master!$I$3:$Q$3)/SUMPRODUCT(--(Student_Test_Profiles!$F$2:$N$2&lt;&gt;""),Program_Master!$I$3:$Q$3),"")</x:f>
        <x:v>73.92307692307692</x:v>
      </x:c>
      <x:c r="I3" s="22" t="n">
        <x:f>SUMPRODUCT(Student_Test_Profiles!$O$2:$Y$2,Program_Master!$X$3:$AH$3)/100</x:f>
        <x:v>40.05</x:v>
      </x:c>
      <x:c r="J3" s="22" t="n">
        <x:f>SUMPRODUCT(Student_Test_Profiles!$Z$2:$AE$2,Program_Master!$R$3:$W$3)/100</x:f>
        <x:v>71.6</x:v>
      </x:c>
      <x:c r="K3" s="22" t="n">
        <x:f>IF(F3="Eligible",H3*0.5+I3*0.3+J3*0.2,"")</x:f>
        <x:v>63.29653846153846</x:v>
      </x:c>
      <x:c r="L3" s="22" t="n">
        <x:f>IF(F3&lt;&gt;"Eligible","",1+COUNTIFS($F$2:$F$15,"Eligible",$K$2:$K$15,"&gt;"&amp;K3))</x:f>
        <x:v>13</x:v>
      </x:c>
      <x:c r="M3" s="22" t="str">
        <x:f>IF(K3="","",IF(K3&gt;=85,"Excellent Match",IF(K3&gt;=75,"Strong Match",IF(K3&gt;=65,"Good Match",IF(K3&gt;=55,"Moderate Match","Weak Match")))))</x:f>
        <x:v>Moderate Match</x:v>
      </x:c>
      <x:c r="N3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4">
      <x:c r="A4" s="12" t="str">
        <x:f>Student_Test_Profiles!A2</x:f>
        <x:v>TEST-A</x:v>
      </x:c>
      <x:c r="B4" s="12" t="str">
        <x:f>Student_Test_Profiles!B2</x:f>
        <x:v>Strong Computing Student</x:v>
      </x:c>
      <x:c r="C4" s="12" t="str">
        <x:f>Program_Master!A4</x:f>
        <x:v>SIBAU-BSCS</x:v>
      </x:c>
      <x:c r="D4" s="12" t="str">
        <x:f>Program_Master!B4</x:f>
        <x:v>BS Computer Science</x:v>
      </x:c>
      <x:c r="E4" s="12" t="str">
        <x:f>Program_Master!C4</x:f>
        <x:v>Computing</x:v>
      </x:c>
      <x:c r="F4" s="12" t="str">
        <x:f>IF(Student_Test_Profiles!$AF$2&lt;Program_Master!$H$4,"Not Eligible",IF(C4="SIBAU-BEEE",IF(AND(Student_Test_Profiles!$C$2="Pre-Engineering",Student_Test_Profiles!$F$2&gt;=Program_Master!$G$4,Student_Test_Profiles!$G$2&gt;=Program_Master!$G$4),"Eligible","Not Eligible"),IF(C4="SIBAU-BECSE",IF(AND(OR(Student_Test_Profiles!$C$2="Pre-Engineering",Student_Test_Profiles!$C$2="ICS"),Student_Test_Profiles!$F$2&gt;=Program_Master!$G$4,OR(Student_Test_Profiles!$G$2&gt;=Program_Master!$G$4,Student_Test_Profiles!$H$2&gt;=Program_Master!$G$4)),"Eligible","Not Eligible"),"Eligible")))</x:f>
        <x:v>Eligible</x:v>
      </x:c>
      <x:c r="G4" s="12" t="str">
        <x:f>IF(F4="Eligible",IF(OR(C4="SIBAU-BEEE",C4="SIBAU-BECSE"),"Meets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" s="22" t="n">
        <x:f>IFERROR(SUMPRODUCT(Student_Test_Profiles!$F$2:$N$2,Program_Master!$I$4:$Q$4)/SUMPRODUCT(--(Student_Test_Profiles!$F$2:$N$2&lt;&gt;""),Program_Master!$I$4:$Q$4),"")</x:f>
        <x:v>83.2</x:v>
      </x:c>
      <x:c r="I4" s="22" t="n">
        <x:f>SUMPRODUCT(Student_Test_Profiles!$O$2:$Y$2,Program_Master!$X$4:$AH$4)/100</x:f>
        <x:v>90</x:v>
      </x:c>
      <x:c r="J4" s="22" t="n">
        <x:f>SUMPRODUCT(Student_Test_Profiles!$Z$2:$AE$2,Program_Master!$R$4:$W$4)/100</x:f>
        <x:v>79.95</x:v>
      </x:c>
      <x:c r="K4" s="22" t="n">
        <x:f>IF(F4="Eligible",H4*0.5+I4*0.3+J4*0.2,"")</x:f>
        <x:v>84.59</x:v>
      </x:c>
      <x:c r="L4" s="22" t="n">
        <x:f>IF(F4&lt;&gt;"Eligible","",1+COUNTIFS($F$2:$F$15,"Eligible",$K$2:$K$15,"&gt;"&amp;K4))</x:f>
        <x:v>2</x:v>
      </x:c>
      <x:c r="M4" s="22" t="str">
        <x:f>IF(K4="","",IF(K4&gt;=85,"Excellent Match",IF(K4&gt;=75,"Strong Match",IF(K4&gt;=65,"Good Match",IF(K4&gt;=55,"Moderate Match","Weak Match")))))</x:f>
        <x:v>Strong Match</x:v>
      </x:c>
      <x:c r="N4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5">
      <x:c r="A5" s="12" t="str">
        <x:f>Student_Test_Profiles!A2</x:f>
        <x:v>TEST-A</x:v>
      </x:c>
      <x:c r="B5" s="12" t="str">
        <x:f>Student_Test_Profiles!B2</x:f>
        <x:v>Strong Computing Student</x:v>
      </x:c>
      <x:c r="C5" s="12" t="str">
        <x:f>Program_Master!A5</x:f>
        <x:v>SIBAU-BSSE</x:v>
      </x:c>
      <x:c r="D5" s="12" t="str">
        <x:f>Program_Master!B5</x:f>
        <x:v>BS Software Engineering</x:v>
      </x:c>
      <x:c r="E5" s="12" t="str">
        <x:f>Program_Master!C5</x:f>
        <x:v>Computing</x:v>
      </x:c>
      <x:c r="F5" s="12" t="str">
        <x:f>IF(Student_Test_Profiles!$AF$2&lt;Program_Master!$H$5,"Not Eligible",IF(C5="SIBAU-BEEE",IF(AND(Student_Test_Profiles!$C$2="Pre-Engineering",Student_Test_Profiles!$F$2&gt;=Program_Master!$G$5,Student_Test_Profiles!$G$2&gt;=Program_Master!$G$5),"Eligible","Not Eligible"),IF(C5="SIBAU-BECSE",IF(AND(OR(Student_Test_Profiles!$C$2="Pre-Engineering",Student_Test_Profiles!$C$2="ICS"),Student_Test_Profiles!$F$2&gt;=Program_Master!$G$5,OR(Student_Test_Profiles!$G$2&gt;=Program_Master!$G$5,Student_Test_Profiles!$H$2&gt;=Program_Master!$G$5)),"Eligible","Not Eligible"),"Eligible")))</x:f>
        <x:v>Eligible</x:v>
      </x:c>
      <x:c r="G5" s="12" t="str">
        <x:f>IF(F5="Eligible",IF(OR(C5="SIBAU-BEEE",C5="SIBAU-BECSE"),"Meets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" s="22" t="n">
        <x:f>IFERROR(SUMPRODUCT(Student_Test_Profiles!$F$2:$N$2,Program_Master!$I$5:$Q$5)/SUMPRODUCT(--(Student_Test_Profiles!$F$2:$N$2&lt;&gt;""),Program_Master!$I$5:$Q$5),"")</x:f>
        <x:v>82.05</x:v>
      </x:c>
      <x:c r="I5" s="22" t="n">
        <x:f>SUMPRODUCT(Student_Test_Profiles!$O$2:$Y$2,Program_Master!$X$5:$AH$5)/100</x:f>
        <x:v>90.25</x:v>
      </x:c>
      <x:c r="J5" s="22" t="n">
        <x:f>SUMPRODUCT(Student_Test_Profiles!$Z$2:$AE$2,Program_Master!$R$5:$W$5)/100</x:f>
        <x:v>77.5</x:v>
      </x:c>
      <x:c r="K5" s="22" t="n">
        <x:f>IF(F5="Eligible",H5*0.5+I5*0.3+J5*0.2,"")</x:f>
        <x:v>83.6</x:v>
      </x:c>
      <x:c r="L5" s="22" t="n">
        <x:f>IF(F5&lt;&gt;"Eligible","",1+COUNTIFS($F$2:$F$15,"Eligible",$K$2:$K$15,"&gt;"&amp;K5))</x:f>
        <x:v>4</x:v>
      </x:c>
      <x:c r="M5" s="22" t="str">
        <x:f>IF(K5="","",IF(K5&gt;=85,"Excellent Match",IF(K5&gt;=75,"Strong Match",IF(K5&gt;=65,"Good Match",IF(K5&gt;=55,"Moderate Match","Weak Match")))))</x:f>
        <x:v>Strong Match</x:v>
      </x:c>
      <x:c r="N5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6">
      <x:c r="A6" s="12" t="str">
        <x:f>Student_Test_Profiles!A2</x:f>
        <x:v>TEST-A</x:v>
      </x:c>
      <x:c r="B6" s="12" t="str">
        <x:f>Student_Test_Profiles!B2</x:f>
        <x:v>Strong Computing Student</x:v>
      </x:c>
      <x:c r="C6" s="12" t="str">
        <x:f>Program_Master!A6</x:f>
        <x:v>SIBAU-BSAI</x:v>
      </x:c>
      <x:c r="D6" s="12" t="str">
        <x:f>Program_Master!B6</x:f>
        <x:v>BS Artificial Intelligence</x:v>
      </x:c>
      <x:c r="E6" s="12" t="str">
        <x:f>Program_Master!C6</x:f>
        <x:v>Computing &amp; AI</x:v>
      </x:c>
      <x:c r="F6" s="12" t="str">
        <x:f>IF(Student_Test_Profiles!$AF$2&lt;Program_Master!$H$6,"Not Eligible",IF(C6="SIBAU-BEEE",IF(AND(Student_Test_Profiles!$C$2="Pre-Engineering",Student_Test_Profiles!$F$2&gt;=Program_Master!$G$6,Student_Test_Profiles!$G$2&gt;=Program_Master!$G$6),"Eligible","Not Eligible"),IF(C6="SIBAU-BECSE",IF(AND(OR(Student_Test_Profiles!$C$2="Pre-Engineering",Student_Test_Profiles!$C$2="ICS"),Student_Test_Profiles!$F$2&gt;=Program_Master!$G$6,OR(Student_Test_Profiles!$G$2&gt;=Program_Master!$G$6,Student_Test_Profiles!$H$2&gt;=Program_Master!$G$6)),"Eligible","Not Eligible"),"Eligible")))</x:f>
        <x:v>Eligible</x:v>
      </x:c>
      <x:c r="G6" s="12" t="str">
        <x:f>IF(F6="Eligible",IF(OR(C6="SIBAU-BEEE",C6="SIBAU-BECSE"),"Meets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" s="22" t="n">
        <x:f>IFERROR(SUMPRODUCT(Student_Test_Profiles!$F$2:$N$2,Program_Master!$I$6:$Q$6)/SUMPRODUCT(--(Student_Test_Profiles!$F$2:$N$2&lt;&gt;""),Program_Master!$I$6:$Q$6),"")</x:f>
        <x:v>83.63157894736842</x:v>
      </x:c>
      <x:c r="I6" s="22" t="n">
        <x:f>SUMPRODUCT(Student_Test_Profiles!$O$2:$Y$2,Program_Master!$X$6:$AH$6)/100</x:f>
        <x:v>89.25</x:v>
      </x:c>
      <x:c r="J6" s="22" t="n">
        <x:f>SUMPRODUCT(Student_Test_Profiles!$Z$2:$AE$2,Program_Master!$R$6:$W$6)/100</x:f>
        <x:v>80.55</x:v>
      </x:c>
      <x:c r="K6" s="22" t="n">
        <x:f>IF(F6="Eligible",H6*0.5+I6*0.3+J6*0.2,"")</x:f>
        <x:v>84.70078947368421</x:v>
      </x:c>
      <x:c r="L6" s="22" t="n">
        <x:f>IF(F6&lt;&gt;"Eligible","",1+COUNTIFS($F$2:$F$15,"Eligible",$K$2:$K$15,"&gt;"&amp;K6))</x:f>
        <x:v>1</x:v>
      </x:c>
      <x:c r="M6" s="22" t="str">
        <x:f>IF(K6="","",IF(K6&gt;=85,"Excellent Match",IF(K6&gt;=75,"Strong Match",IF(K6&gt;=65,"Good Match",IF(K6&gt;=55,"Moderate Match","Weak Match")))))</x:f>
        <x:v>Strong Match</x:v>
      </x:c>
      <x:c r="N6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7">
      <x:c r="A7" s="12" t="str">
        <x:f>Student_Test_Profiles!A2</x:f>
        <x:v>TEST-A</x:v>
      </x:c>
      <x:c r="B7" s="12" t="str">
        <x:f>Student_Test_Profiles!B2</x:f>
        <x:v>Strong Computing Student</x:v>
      </x:c>
      <x:c r="C7" s="12" t="str">
        <x:f>Program_Master!A7</x:f>
        <x:v>SIBAU-BSAF</x:v>
      </x:c>
      <x:c r="D7" s="12" t="str">
        <x:f>Program_Master!B7</x:f>
        <x:v>BS Accounting &amp; Finance</x:v>
      </x:c>
      <x:c r="E7" s="12" t="str">
        <x:f>Program_Master!C7</x:f>
        <x:v>Business &amp; Finance</x:v>
      </x:c>
      <x:c r="F7" s="12" t="str">
        <x:f>IF(Student_Test_Profiles!$AF$2&lt;Program_Master!$H$7,"Not Eligible",IF(C7="SIBAU-BEEE",IF(AND(Student_Test_Profiles!$C$2="Pre-Engineering",Student_Test_Profiles!$F$2&gt;=Program_Master!$G$7,Student_Test_Profiles!$G$2&gt;=Program_Master!$G$7),"Eligible","Not Eligible"),IF(C7="SIBAU-BECSE",IF(AND(OR(Student_Test_Profiles!$C$2="Pre-Engineering",Student_Test_Profiles!$C$2="ICS"),Student_Test_Profiles!$F$2&gt;=Program_Master!$G$7,OR(Student_Test_Profiles!$G$2&gt;=Program_Master!$G$7,Student_Test_Profiles!$H$2&gt;=Program_Master!$G$7)),"Eligible","Not Eligible"),"Eligible")))</x:f>
        <x:v>Eligible</x:v>
      </x:c>
      <x:c r="G7" s="12" t="str">
        <x:f>IF(F7="Eligible",IF(OR(C7="SIBAU-BEEE",C7="SIBAU-BECSE"),"Meets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" s="22" t="n">
        <x:f>IFERROR(SUMPRODUCT(Student_Test_Profiles!$F$2:$N$2,Program_Master!$I$7:$Q$7)/SUMPRODUCT(--(Student_Test_Profiles!$F$2:$N$2&lt;&gt;""),Program_Master!$I$7:$Q$7),"")</x:f>
        <x:v>79.55555555555556</x:v>
      </x:c>
      <x:c r="I7" s="22" t="n">
        <x:f>SUMPRODUCT(Student_Test_Profiles!$O$2:$Y$2,Program_Master!$X$7:$AH$7)/100</x:f>
        <x:v>52</x:v>
      </x:c>
      <x:c r="J7" s="22" t="n">
        <x:f>SUMPRODUCT(Student_Test_Profiles!$Z$2:$AE$2,Program_Master!$R$7:$W$7)/100</x:f>
        <x:v>74.4</x:v>
      </x:c>
      <x:c r="K7" s="22" t="n">
        <x:f>IF(F7="Eligible",H7*0.5+I7*0.3+J7*0.2,"")</x:f>
        <x:v>70.25777777777779</x:v>
      </x:c>
      <x:c r="L7" s="22" t="n">
        <x:f>IF(F7&lt;&gt;"Eligible","",1+COUNTIFS($F$2:$F$15,"Eligible",$K$2:$K$15,"&gt;"&amp;K7))</x:f>
        <x:v>7</x:v>
      </x:c>
      <x:c r="M7" s="22" t="str">
        <x:f>IF(K7="","",IF(K7&gt;=85,"Excellent Match",IF(K7&gt;=75,"Strong Match",IF(K7&gt;=65,"Good Match",IF(K7&gt;=55,"Moderate Match","Weak Match")))))</x:f>
        <x:v>Good Match</x:v>
      </x:c>
      <x:c r="N7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8">
      <x:c r="A8" s="12" t="str">
        <x:f>Student_Test_Profiles!A2</x:f>
        <x:v>TEST-A</x:v>
      </x:c>
      <x:c r="B8" s="12" t="str">
        <x:f>Student_Test_Profiles!B2</x:f>
        <x:v>Strong Computing Student</x:v>
      </x:c>
      <x:c r="C8" s="12" t="str">
        <x:f>Program_Master!A8</x:f>
        <x:v>SIBAU-BSECO</x:v>
      </x:c>
      <x:c r="D8" s="12" t="str">
        <x:f>Program_Master!B8</x:f>
        <x:v>BS Economics</x:v>
      </x:c>
      <x:c r="E8" s="12" t="str">
        <x:f>Program_Master!C8</x:f>
        <x:v>Economics &amp; Social Science</x:v>
      </x:c>
      <x:c r="F8" s="12" t="str">
        <x:f>IF(Student_Test_Profiles!$AF$2&lt;Program_Master!$H$8,"Not Eligible",IF(C8="SIBAU-BEEE",IF(AND(Student_Test_Profiles!$C$2="Pre-Engineering",Student_Test_Profiles!$F$2&gt;=Program_Master!$G$8,Student_Test_Profiles!$G$2&gt;=Program_Master!$G$8),"Eligible","Not Eligible"),IF(C8="SIBAU-BECSE",IF(AND(OR(Student_Test_Profiles!$C$2="Pre-Engineering",Student_Test_Profiles!$C$2="ICS"),Student_Test_Profiles!$F$2&gt;=Program_Master!$G$8,OR(Student_Test_Profiles!$G$2&gt;=Program_Master!$G$8,Student_Test_Profiles!$H$2&gt;=Program_Master!$G$8)),"Eligible","Not Eligible"),"Eligible")))</x:f>
        <x:v>Eligible</x:v>
      </x:c>
      <x:c r="G8" s="12" t="str">
        <x:f>IF(F8="Eligible",IF(OR(C8="SIBAU-BEEE",C8="SIBAU-BECSE"),"Meets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8" s="22" t="n">
        <x:f>IFERROR(SUMPRODUCT(Student_Test_Profiles!$F$2:$N$2,Program_Master!$I$8:$Q$8)/SUMPRODUCT(--(Student_Test_Profiles!$F$2:$N$2&lt;&gt;""),Program_Master!$I$8:$Q$8),"")</x:f>
        <x:v>78.3076923076923</x:v>
      </x:c>
      <x:c r="I8" s="22" t="n">
        <x:f>SUMPRODUCT(Student_Test_Profiles!$O$2:$Y$2,Program_Master!$X$8:$AH$8)/100</x:f>
        <x:v>68.15</x:v>
      </x:c>
      <x:c r="J8" s="22" t="n">
        <x:f>SUMPRODUCT(Student_Test_Profiles!$Z$2:$AE$2,Program_Master!$R$8:$W$8)/100</x:f>
        <x:v>75.3</x:v>
      </x:c>
      <x:c r="K8" s="22" t="n">
        <x:f>IF(F8="Eligible",H8*0.5+I8*0.3+J8*0.2,"")</x:f>
        <x:v>74.65884615384616</x:v>
      </x:c>
      <x:c r="L8" s="22" t="n">
        <x:f>IF(F8&lt;&gt;"Eligible","",1+COUNTIFS($F$2:$F$15,"Eligible",$K$2:$K$15,"&gt;"&amp;K8))</x:f>
        <x:v>6</x:v>
      </x:c>
      <x:c r="M8" s="22" t="str">
        <x:f>IF(K8="","",IF(K8&gt;=85,"Excellent Match",IF(K8&gt;=75,"Strong Match",IF(K8&gt;=65,"Good Match",IF(K8&gt;=55,"Moderate Match","Weak Match")))))</x:f>
        <x:v>Good Match</x:v>
      </x:c>
      <x:c r="N8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9">
      <x:c r="A9" s="12" t="str">
        <x:f>Student_Test_Profiles!A2</x:f>
        <x:v>TEST-A</x:v>
      </x:c>
      <x:c r="B9" s="12" t="str">
        <x:f>Student_Test_Profiles!B2</x:f>
        <x:v>Strong Computing Student</x:v>
      </x:c>
      <x:c r="C9" s="12" t="str">
        <x:f>Program_Master!A9</x:f>
        <x:v>SIBAU-BSMATH</x:v>
      </x:c>
      <x:c r="D9" s="12" t="str">
        <x:f>Program_Master!B9</x:f>
        <x:v>BS Mathematics</x:v>
      </x:c>
      <x:c r="E9" s="12" t="str">
        <x:f>Program_Master!C9</x:f>
        <x:v>Mathematics &amp; Sciences</x:v>
      </x:c>
      <x:c r="F9" s="12" t="str">
        <x:f>IF(Student_Test_Profiles!$AF$2&lt;Program_Master!$H$9,"Not Eligible",IF(C9="SIBAU-BEEE",IF(AND(Student_Test_Profiles!$C$2="Pre-Engineering",Student_Test_Profiles!$F$2&gt;=Program_Master!$G$9,Student_Test_Profiles!$G$2&gt;=Program_Master!$G$9),"Eligible","Not Eligible"),IF(C9="SIBAU-BECSE",IF(AND(OR(Student_Test_Profiles!$C$2="Pre-Engineering",Student_Test_Profiles!$C$2="ICS"),Student_Test_Profiles!$F$2&gt;=Program_Master!$G$9,OR(Student_Test_Profiles!$G$2&gt;=Program_Master!$G$9,Student_Test_Profiles!$H$2&gt;=Program_Master!$G$9)),"Eligible","Not Eligible"),"Eligible")))</x:f>
        <x:v>Eligible</x:v>
      </x:c>
      <x:c r="G9" s="12" t="str">
        <x:f>IF(F9="Eligible",IF(OR(C9="SIBAU-BEEE",C9="SIBAU-BECSE"),"Meets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9" s="22" t="n">
        <x:f>IFERROR(SUMPRODUCT(Student_Test_Profiles!$F$2:$N$2,Program_Master!$I$9:$Q$9)/SUMPRODUCT(--(Student_Test_Profiles!$F$2:$N$2&lt;&gt;""),Program_Master!$I$9:$Q$9),"")</x:f>
        <x:v>83.75</x:v>
      </x:c>
      <x:c r="I9" s="22" t="n">
        <x:f>SUMPRODUCT(Student_Test_Profiles!$O$2:$Y$2,Program_Master!$X$9:$AH$9)/100</x:f>
        <x:v>84.5</x:v>
      </x:c>
      <x:c r="J9" s="22" t="n">
        <x:f>SUMPRODUCT(Student_Test_Profiles!$Z$2:$AE$2,Program_Master!$R$9:$W$9)/100</x:f>
        <x:v>82.3</x:v>
      </x:c>
      <x:c r="K9" s="22" t="n">
        <x:f>IF(F9="Eligible",H9*0.5+I9*0.3+J9*0.2,"")</x:f>
        <x:v>83.685</x:v>
      </x:c>
      <x:c r="L9" s="22" t="n">
        <x:f>IF(F9&lt;&gt;"Eligible","",1+COUNTIFS($F$2:$F$15,"Eligible",$K$2:$K$15,"&gt;"&amp;K9))</x:f>
        <x:v>3</x:v>
      </x:c>
      <x:c r="M9" s="22" t="str">
        <x:f>IF(K9="","",IF(K9&gt;=85,"Excellent Match",IF(K9&gt;=75,"Strong Match",IF(K9&gt;=65,"Good Match",IF(K9&gt;=55,"Moderate Match","Weak Match")))))</x:f>
        <x:v>Strong Match</x:v>
      </x:c>
      <x:c r="N9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10">
      <x:c r="A10" s="12" t="str">
        <x:f>Student_Test_Profiles!A2</x:f>
        <x:v>TEST-A</x:v>
      </x:c>
      <x:c r="B10" s="12" t="str">
        <x:f>Student_Test_Profiles!B2</x:f>
        <x:v>Strong Computing Student</x:v>
      </x:c>
      <x:c r="C10" s="12" t="str">
        <x:f>Program_Master!A10</x:f>
        <x:v>SIBAU-BSMC</x:v>
      </x:c>
      <x:c r="D10" s="12" t="str">
        <x:f>Program_Master!B10</x:f>
        <x:v>BS Media &amp; Communication</x:v>
      </x:c>
      <x:c r="E10" s="12" t="str">
        <x:f>Program_Master!C10</x:f>
        <x:v>Media &amp; Communication</x:v>
      </x:c>
      <x:c r="F10" s="12" t="str">
        <x:f>IF(Student_Test_Profiles!$AF$2&lt;Program_Master!$H$10,"Not Eligible",IF(C10="SIBAU-BEEE",IF(AND(Student_Test_Profiles!$C$2="Pre-Engineering",Student_Test_Profiles!$F$2&gt;=Program_Master!$G$10,Student_Test_Profiles!$G$2&gt;=Program_Master!$G$10),"Eligible","Not Eligible"),IF(C10="SIBAU-BECSE",IF(AND(OR(Student_Test_Profiles!$C$2="Pre-Engineering",Student_Test_Profiles!$C$2="ICS"),Student_Test_Profiles!$F$2&gt;=Program_Master!$G$10,OR(Student_Test_Profiles!$G$2&gt;=Program_Master!$G$10,Student_Test_Profiles!$H$2&gt;=Program_Master!$G$10)),"Eligible","Not Eligible"),"Eligible")))</x:f>
        <x:v>Eligible</x:v>
      </x:c>
      <x:c r="G10" s="12" t="str">
        <x:f>IF(F10="Eligible",IF(OR(C10="SIBAU-BEEE",C10="SIBAU-BECSE"),"Meets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0" s="22" t="n">
        <x:f>IFERROR(SUMPRODUCT(Student_Test_Profiles!$F$2:$N$2,Program_Master!$I$10:$Q$10)/SUMPRODUCT(--(Student_Test_Profiles!$F$2:$N$2&lt;&gt;""),Program_Master!$I$10:$Q$10),"")</x:f>
        <x:v>71.6842105263158</x:v>
      </x:c>
      <x:c r="I10" s="22" t="n">
        <x:f>SUMPRODUCT(Student_Test_Profiles!$O$2:$Y$2,Program_Master!$X$10:$AH$10)/100</x:f>
        <x:v>54.35</x:v>
      </x:c>
      <x:c r="J10" s="22" t="n">
        <x:f>SUMPRODUCT(Student_Test_Profiles!$Z$2:$AE$2,Program_Master!$R$10:$W$10)/100</x:f>
        <x:v>65.45</x:v>
      </x:c>
      <x:c r="K10" s="22" t="n">
        <x:f>IF(F10="Eligible",H10*0.5+I10*0.3+J10*0.2,"")</x:f>
        <x:v>65.2371052631579</x:v>
      </x:c>
      <x:c r="L10" s="22" t="n">
        <x:f>IF(F10&lt;&gt;"Eligible","",1+COUNTIFS($F$2:$F$15,"Eligible",$K$2:$K$15,"&gt;"&amp;K10))</x:f>
        <x:v>8</x:v>
      </x:c>
      <x:c r="M10" s="22" t="str">
        <x:f>IF(K10="","",IF(K10&gt;=85,"Excellent Match",IF(K10&gt;=75,"Strong Match",IF(K10&gt;=65,"Good Match",IF(K10&gt;=55,"Moderate Match","Weak Match")))))</x:f>
        <x:v>Good Match</x:v>
      </x:c>
      <x:c r="N10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11">
      <x:c r="A11" s="12" t="str">
        <x:f>Student_Test_Profiles!A2</x:f>
        <x:v>TEST-A</x:v>
      </x:c>
      <x:c r="B11" s="12" t="str">
        <x:f>Student_Test_Profiles!B2</x:f>
        <x:v>Strong Computing Student</x:v>
      </x:c>
      <x:c r="C11" s="12" t="str">
        <x:f>Program_Master!A11</x:f>
        <x:v>SIBAU-BSPESS</x:v>
      </x:c>
      <x:c r="D11" s="12" t="str">
        <x:f>Program_Master!B11</x:f>
        <x:v>BS Physical Education &amp; Sports Sciences</x:v>
      </x:c>
      <x:c r="E11" s="12" t="str">
        <x:f>Program_Master!C11</x:f>
        <x:v>Sports &amp; Health</x:v>
      </x:c>
      <x:c r="F11" s="12" t="str">
        <x:f>IF(Student_Test_Profiles!$AF$2&lt;Program_Master!$H$11,"Not Eligible",IF(C11="SIBAU-BEEE",IF(AND(Student_Test_Profiles!$C$2="Pre-Engineering",Student_Test_Profiles!$F$2&gt;=Program_Master!$G$11,Student_Test_Profiles!$G$2&gt;=Program_Master!$G$11),"Eligible","Not Eligible"),IF(C11="SIBAU-BECSE",IF(AND(OR(Student_Test_Profiles!$C$2="Pre-Engineering",Student_Test_Profiles!$C$2="ICS"),Student_Test_Profiles!$F$2&gt;=Program_Master!$G$11,OR(Student_Test_Profiles!$G$2&gt;=Program_Master!$G$11,Student_Test_Profiles!$H$2&gt;=Program_Master!$G$11)),"Eligible","Not Eligible"),"Eligible")))</x:f>
        <x:v>Eligible</x:v>
      </x:c>
      <x:c r="G11" s="12" t="str">
        <x:f>IF(F11="Eligible",IF(OR(C11="SIBAU-BEEE",C11="SIBAU-BECSE"),"Meets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1" s="22" t="n">
        <x:f>IFERROR(SUMPRODUCT(Student_Test_Profiles!$F$2:$N$2,Program_Master!$I$11:$Q$11)/SUMPRODUCT(--(Student_Test_Profiles!$F$2:$N$2&lt;&gt;""),Program_Master!$I$11:$Q$11),"")</x:f>
        <x:v>71.93333333333334</x:v>
      </x:c>
      <x:c r="I11" s="22" t="n">
        <x:f>SUMPRODUCT(Student_Test_Profiles!$O$2:$Y$2,Program_Master!$X$11:$AH$11)/100</x:f>
        <x:v>50.65</x:v>
      </x:c>
      <x:c r="J11" s="22" t="n">
        <x:f>SUMPRODUCT(Student_Test_Profiles!$Z$2:$AE$2,Program_Master!$R$11:$W$11)/100</x:f>
        <x:v>68.75</x:v>
      </x:c>
      <x:c r="K11" s="22" t="n">
        <x:f>IF(F11="Eligible",H11*0.5+I11*0.3+J11*0.2,"")</x:f>
        <x:v>64.91166666666666</x:v>
      </x:c>
      <x:c r="L11" s="22" t="n">
        <x:f>IF(F11&lt;&gt;"Eligible","",1+COUNTIFS($F$2:$F$15,"Eligible",$K$2:$K$15,"&gt;"&amp;K11))</x:f>
        <x:v>9</x:v>
      </x:c>
      <x:c r="M11" s="22" t="str">
        <x:f>IF(K11="","",IF(K11&gt;=85,"Excellent Match",IF(K11&gt;=75,"Strong Match",IF(K11&gt;=65,"Good Match",IF(K11&gt;=55,"Moderate Match","Weak Match")))))</x:f>
        <x:v>Moderate Match</x:v>
      </x:c>
      <x:c r="N11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12">
      <x:c r="A12" s="12" t="str">
        <x:f>Student_Test_Profiles!A2</x:f>
        <x:v>TEST-A</x:v>
      </x:c>
      <x:c r="B12" s="12" t="str">
        <x:f>Student_Test_Profiles!B2</x:f>
        <x:v>Strong Computing Student</x:v>
      </x:c>
      <x:c r="C12" s="12" t="str">
        <x:f>Program_Master!A12</x:f>
        <x:v>SIBAU-ADPESS</x:v>
      </x:c>
      <x:c r="D12" s="12" t="str">
        <x:f>Program_Master!B12</x:f>
        <x:v>Associate Degree in Physical Education &amp; Sports Sciences</x:v>
      </x:c>
      <x:c r="E12" s="12" t="str">
        <x:f>Program_Master!C12</x:f>
        <x:v>Sports &amp; Health</x:v>
      </x:c>
      <x:c r="F12" s="12" t="str">
        <x:f>IF(Student_Test_Profiles!$AF$2&lt;Program_Master!$H$12,"Not Eligible",IF(C12="SIBAU-BEEE",IF(AND(Student_Test_Profiles!$C$2="Pre-Engineering",Student_Test_Profiles!$F$2&gt;=Program_Master!$G$12,Student_Test_Profiles!$G$2&gt;=Program_Master!$G$12),"Eligible","Not Eligible"),IF(C12="SIBAU-BECSE",IF(AND(OR(Student_Test_Profiles!$C$2="Pre-Engineering",Student_Test_Profiles!$C$2="ICS"),Student_Test_Profiles!$F$2&gt;=Program_Master!$G$12,OR(Student_Test_Profiles!$G$2&gt;=Program_Master!$G$12,Student_Test_Profiles!$H$2&gt;=Program_Master!$G$12)),"Eligible","Not Eligible"),"Eligible")))</x:f>
        <x:v>Eligible</x:v>
      </x:c>
      <x:c r="G12" s="12" t="str">
        <x:f>IF(F12="Eligible",IF(OR(C12="SIBAU-BEEE",C12="SIBAU-BECSE"),"Meets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2" s="22" t="n">
        <x:f>IFERROR(SUMPRODUCT(Student_Test_Profiles!$F$2:$N$2,Program_Master!$I$12:$Q$12)/SUMPRODUCT(--(Student_Test_Profiles!$F$2:$N$2&lt;&gt;""),Program_Master!$I$12:$Q$12),"")</x:f>
        <x:v>71.93333333333334</x:v>
      </x:c>
      <x:c r="I12" s="22" t="n">
        <x:f>SUMPRODUCT(Student_Test_Profiles!$O$2:$Y$2,Program_Master!$X$12:$AH$12)/100</x:f>
        <x:v>50.65</x:v>
      </x:c>
      <x:c r="J12" s="22" t="n">
        <x:f>SUMPRODUCT(Student_Test_Profiles!$Z$2:$AE$2,Program_Master!$R$12:$W$12)/100</x:f>
        <x:v>68.75</x:v>
      </x:c>
      <x:c r="K12" s="22" t="n">
        <x:f>IF(F12="Eligible",H12*0.5+I12*0.3+J12*0.2,"")</x:f>
        <x:v>64.91166666666666</x:v>
      </x:c>
      <x:c r="L12" s="22" t="n">
        <x:f>IF(F12&lt;&gt;"Eligible","",1+COUNTIFS($F$2:$F$15,"Eligible",$K$2:$K$15,"&gt;"&amp;K12))</x:f>
        <x:v>9</x:v>
      </x:c>
      <x:c r="M12" s="22" t="str">
        <x:f>IF(K12="","",IF(K12&gt;=85,"Excellent Match",IF(K12&gt;=75,"Strong Match",IF(K12&gt;=65,"Good Match",IF(K12&gt;=55,"Moderate Match","Weak Match")))))</x:f>
        <x:v>Moderate Match</x:v>
      </x:c>
      <x:c r="N12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13">
      <x:c r="A13" s="12" t="str">
        <x:f>Student_Test_Profiles!A2</x:f>
        <x:v>TEST-A</x:v>
      </x:c>
      <x:c r="B13" s="12" t="str">
        <x:f>Student_Test_Profiles!B2</x:f>
        <x:v>Strong Computing Student</x:v>
      </x:c>
      <x:c r="C13" s="12" t="str">
        <x:f>Program_Master!A13</x:f>
        <x:v>SIBAU-BEEE</x:v>
      </x:c>
      <x:c r="D13" s="12" t="str">
        <x:f>Program_Master!B13</x:f>
        <x:v>BE Electrical Engineering</x:v>
      </x:c>
      <x:c r="E13" s="12" t="str">
        <x:f>Program_Master!C13</x:f>
        <x:v>Engineering</x:v>
      </x:c>
      <x:c r="F13" s="12" t="str">
        <x:f>IF(Student_Test_Profiles!$AF$2&lt;Program_Master!$H$13,"Not Eligible",IF(C13="SIBAU-BEEE",IF(AND(Student_Test_Profiles!$C$2="Pre-Engineering",Student_Test_Profiles!$F$2&gt;=Program_Master!$G$13,Student_Test_Profiles!$G$2&gt;=Program_Master!$G$13),"Eligible","Not Eligible"),IF(C13="SIBAU-BECSE",IF(AND(OR(Student_Test_Profiles!$C$2="Pre-Engineering",Student_Test_Profiles!$C$2="ICS"),Student_Test_Profiles!$F$2&gt;=Program_Master!$G$13,OR(Student_Test_Profiles!$G$2&gt;=Program_Master!$G$13,Student_Test_Profiles!$H$2&gt;=Program_Master!$G$13)),"Eligible","Not Eligible"),"Eligible")))</x:f>
        <x:v>Not Eligible</x:v>
      </x:c>
      <x:c r="G13" s="12" t="str">
        <x:f>IF(F13="Eligible",IF(OR(C13="SIBAU-BEEE",C13="SIBAU-BECSE"),"Meets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13" s="22" t="n">
        <x:f>IFERROR(SUMPRODUCT(Student_Test_Profiles!$F$2:$N$2,Program_Master!$I$13:$Q$13)/SUMPRODUCT(--(Student_Test_Profiles!$F$2:$N$2&lt;&gt;""),Program_Master!$I$13:$Q$13),"")</x:f>
        <x:v>81.94444444444444</x:v>
      </x:c>
      <x:c r="I13" s="22" t="n">
        <x:f>SUMPRODUCT(Student_Test_Profiles!$O$2:$Y$2,Program_Master!$X$13:$AH$13)/100</x:f>
        <x:v>73</x:v>
      </x:c>
      <x:c r="J13" s="22" t="n">
        <x:f>SUMPRODUCT(Student_Test_Profiles!$Z$2:$AE$2,Program_Master!$R$13:$W$13)/100</x:f>
        <x:v>79.7</x:v>
      </x:c>
      <x:c r="K13" s="22" t="str">
        <x:f>IF(F13="Eligible",H13*0.5+I13*0.3+J13*0.2,"")</x:f>
      </x:c>
      <x:c r="L13" s="22" t="str">
        <x:f>IF(F13&lt;&gt;"Eligible","",1+COUNTIFS($F$2:$F$15,"Eligible",$K$2:$K$15,"&gt;"&amp;K13))</x:f>
      </x:c>
      <x:c r="M13" s="22" t="str">
        <x:f>IF(K13="","",IF(K13&gt;=85,"Excellent Match",IF(K13&gt;=75,"Strong Match",IF(K13&gt;=65,"Good Match",IF(K13&gt;=55,"Moderate Match","Weak Match")))))</x:f>
      </x:c>
      <x:c r="N13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14">
      <x:c r="A14" s="12" t="str">
        <x:f>Student_Test_Profiles!A2</x:f>
        <x:v>TEST-A</x:v>
      </x:c>
      <x:c r="B14" s="12" t="str">
        <x:f>Student_Test_Profiles!B2</x:f>
        <x:v>Strong Computing Student</x:v>
      </x:c>
      <x:c r="C14" s="12" t="str">
        <x:f>Program_Master!A14</x:f>
        <x:v>SIBAU-BECSE</x:v>
      </x:c>
      <x:c r="D14" s="12" t="str">
        <x:f>Program_Master!B14</x:f>
        <x:v>BE Computer Systems Engineering</x:v>
      </x:c>
      <x:c r="E14" s="12" t="str">
        <x:f>Program_Master!C14</x:f>
        <x:v>Engineering &amp; Computing</x:v>
      </x:c>
      <x:c r="F14" s="12" t="str">
        <x:f>IF(Student_Test_Profiles!$AF$2&lt;Program_Master!$H$14,"Not Eligible",IF(C14="SIBAU-BEEE",IF(AND(Student_Test_Profiles!$C$2="Pre-Engineering",Student_Test_Profiles!$F$2&gt;=Program_Master!$G$14,Student_Test_Profiles!$G$2&gt;=Program_Master!$G$14),"Eligible","Not Eligible"),IF(C14="SIBAU-BECSE",IF(AND(OR(Student_Test_Profiles!$C$2="Pre-Engineering",Student_Test_Profiles!$C$2="ICS"),Student_Test_Profiles!$F$2&gt;=Program_Master!$G$14,OR(Student_Test_Profiles!$G$2&gt;=Program_Master!$G$14,Student_Test_Profiles!$H$2&gt;=Program_Master!$G$14)),"Eligible","Not Eligible"),"Eligible")))</x:f>
        <x:v>Eligible</x:v>
      </x:c>
      <x:c r="G14" s="12" t="str">
        <x:f>IF(F14="Eligible",IF(OR(C14="SIBAU-BEEE",C14="SIBAU-BECSE"),"Meets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restricted engineering eligibility rules.</x:v>
      </x:c>
      <x:c r="H14" s="22" t="n">
        <x:f>IFERROR(SUMPRODUCT(Student_Test_Profiles!$F$2:$N$2,Program_Master!$I$14:$Q$14)/SUMPRODUCT(--(Student_Test_Profiles!$F$2:$N$2&lt;&gt;""),Program_Master!$I$14:$Q$14),"")</x:f>
        <x:v>82.7</x:v>
      </x:c>
      <x:c r="I14" s="22" t="n">
        <x:f>SUMPRODUCT(Student_Test_Profiles!$O$2:$Y$2,Program_Master!$X$14:$AH$14)/100</x:f>
        <x:v>80.75</x:v>
      </x:c>
      <x:c r="J14" s="22" t="n">
        <x:f>SUMPRODUCT(Student_Test_Profiles!$Z$2:$AE$2,Program_Master!$R$14:$W$14)/100</x:f>
        <x:v>80.3</x:v>
      </x:c>
      <x:c r="K14" s="22" t="n">
        <x:f>IF(F14="Eligible",H14*0.5+I14*0.3+J14*0.2,"")</x:f>
        <x:v>81.635</x:v>
      </x:c>
      <x:c r="L14" s="22" t="n">
        <x:f>IF(F14&lt;&gt;"Eligible","",1+COUNTIFS($F$2:$F$15,"Eligible",$K$2:$K$15,"&gt;"&amp;K14))</x:f>
        <x:v>5</x:v>
      </x:c>
      <x:c r="M14" s="22" t="str">
        <x:f>IF(K14="","",IF(K14&gt;=85,"Excellent Match",IF(K14&gt;=75,"Strong Match",IF(K14&gt;=65,"Good Match",IF(K14&gt;=55,"Moderate Match","Weak Match")))))</x:f>
        <x:v>Strong Match</x:v>
      </x:c>
      <x:c r="N14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15">
      <x:c r="A15" s="12" t="str">
        <x:f>Student_Test_Profiles!A2</x:f>
        <x:v>TEST-A</x:v>
      </x:c>
      <x:c r="B15" s="12" t="str">
        <x:f>Student_Test_Profiles!B2</x:f>
        <x:v>Strong Computing Student</x:v>
      </x:c>
      <x:c r="C15" s="12" t="str">
        <x:f>Program_Master!A15</x:f>
        <x:v>SIBAU-BEDH</x:v>
      </x:c>
      <x:c r="D15" s="12" t="str">
        <x:f>Program_Master!B15</x:f>
        <x:v>B.Ed (Hons)</x:v>
      </x:c>
      <x:c r="E15" s="12" t="str">
        <x:f>Program_Master!C15</x:f>
        <x:v>Education</x:v>
      </x:c>
      <x:c r="F15" s="12" t="str">
        <x:f>IF(Student_Test_Profiles!$AF$2&lt;Program_Master!$H$15,"Not Eligible",IF(C15="SIBAU-BEEE",IF(AND(Student_Test_Profiles!$C$2="Pre-Engineering",Student_Test_Profiles!$F$2&gt;=Program_Master!$G$15,Student_Test_Profiles!$G$2&gt;=Program_Master!$G$15),"Eligible","Not Eligible"),IF(C15="SIBAU-BECSE",IF(AND(OR(Student_Test_Profiles!$C$2="Pre-Engineering",Student_Test_Profiles!$C$2="ICS"),Student_Test_Profiles!$F$2&gt;=Program_Master!$G$15,OR(Student_Test_Profiles!$G$2&gt;=Program_Master!$G$15,Student_Test_Profiles!$H$2&gt;=Program_Master!$G$15)),"Eligible","Not Eligible"),"Eligible")))</x:f>
        <x:v>Eligible</x:v>
      </x:c>
      <x:c r="G15" s="12" t="str">
        <x:f>IF(F15="Eligible",IF(OR(C15="SIBAU-BEEE",C15="SIBAU-BECSE"),"Meets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5" s="22" t="n">
        <x:f>IFERROR(SUMPRODUCT(Student_Test_Profiles!$F$2:$N$2,Program_Master!$I$15:$Q$15)/SUMPRODUCT(--(Student_Test_Profiles!$F$2:$N$2&lt;&gt;""),Program_Master!$I$15:$Q$15),"")</x:f>
        <x:v>71.57894736842105</x:v>
      </x:c>
      <x:c r="I15" s="22" t="n">
        <x:f>SUMPRODUCT(Student_Test_Profiles!$O$2:$Y$2,Program_Master!$X$15:$AH$15)/100</x:f>
        <x:v>49.4</x:v>
      </x:c>
      <x:c r="J15" s="22" t="n">
        <x:f>SUMPRODUCT(Student_Test_Profiles!$Z$2:$AE$2,Program_Master!$R$15:$W$15)/100</x:f>
        <x:v>67.6</x:v>
      </x:c>
      <x:c r="K15" s="22" t="n">
        <x:f>IF(F15="Eligible",H15*0.5+I15*0.3+J15*0.2,"")</x:f>
        <x:v>64.12947368421052</x:v>
      </x:c>
      <x:c r="L15" s="22" t="n">
        <x:f>IF(F15&lt;&gt;"Eligible","",1+COUNTIFS($F$2:$F$15,"Eligible",$K$2:$K$15,"&gt;"&amp;K15))</x:f>
        <x:v>12</x:v>
      </x:c>
      <x:c r="M15" s="22" t="str">
        <x:f>IF(K15="","",IF(K15&gt;=85,"Excellent Match",IF(K15&gt;=75,"Strong Match",IF(K15&gt;=65,"Good Match",IF(K15&gt;=55,"Moderate Match","Weak Match")))))</x:f>
        <x:v>Moderate Match</x:v>
      </x:c>
      <x:c r="N15" s="12" t="str">
        <x:f>IF(Student_Test_Profiles!$A$2="TEST-B","Biology/health profile has no close clinical program at SIBAU; treat results as alternatives.",IF(Student_Test_Profiles!$A$2="TEST-E","Computing interest is high, but Mathematics eligibility requires verification.",IF(Student_Test_Profiles!$A$2="TEST-F","No dominant pattern; recommendation confidence should remain low.","Marks, interests and aptitude should be checked for alignment.")))</x:f>
        <x:v>Marks, interests and aptitude should be checked for alignment.</x:v>
      </x:c>
    </x:row>
    <x:row r="16">
      <x:c r="A16" s="12" t="str">
        <x:f>Student_Test_Profiles!A3</x:f>
        <x:v>TEST-B</x:v>
      </x:c>
      <x:c r="B16" s="12" t="str">
        <x:f>Student_Test_Profiles!B3</x:f>
        <x:v>Biology and Health-Oriented Student</x:v>
      </x:c>
      <x:c r="C16" s="12" t="str">
        <x:f>Program_Master!A2</x:f>
        <x:v>SIBAU-BBA</x:v>
      </x:c>
      <x:c r="D16" s="12" t="str">
        <x:f>Program_Master!B2</x:f>
        <x:v>Bachelor of Business Administration (BBA)</x:v>
      </x:c>
      <x:c r="E16" s="12" t="str">
        <x:f>Program_Master!C2</x:f>
        <x:v>Business &amp; Management</x:v>
      </x:c>
      <x:c r="F16" s="12" t="str">
        <x:f>IF(Student_Test_Profiles!$AF$3&lt;Program_Master!$H$2,"Not Eligible",IF(C16="SIBAU-BEEE",IF(AND(Student_Test_Profiles!$C$3="Pre-Engineering",Student_Test_Profiles!$F$3&gt;=Program_Master!$G$2,Student_Test_Profiles!$G$3&gt;=Program_Master!$G$2),"Eligible","Not Eligible"),IF(C16="SIBAU-BECSE",IF(AND(OR(Student_Test_Profiles!$C$3="Pre-Engineering",Student_Test_Profiles!$C$3="ICS"),Student_Test_Profiles!$F$3&gt;=Program_Master!$G$2,OR(Student_Test_Profiles!$G$3&gt;=Program_Master!$G$2,Student_Test_Profiles!$H$3&gt;=Program_Master!$G$2)),"Eligible","Not Eligible"),"Eligible")))</x:f>
        <x:v>Eligible</x:v>
      </x:c>
      <x:c r="G16" s="12" t="str">
        <x:f>IF(F16="Eligible",IF(OR(C16="SIBAU-BEEE",C16="SIBAU-BECSE"),"Meets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6" s="22" t="n">
        <x:f>IFERROR(SUMPRODUCT(Student_Test_Profiles!$F$3:$N$3,Program_Master!$I$2:$Q$2)/SUMPRODUCT(--(Student_Test_Profiles!$F$3:$N$3&lt;&gt;""),Program_Master!$I$2:$Q$2),"")</x:f>
        <x:v>72.66666666666667</x:v>
      </x:c>
      <x:c r="I16" s="22" t="n">
        <x:f>SUMPRODUCT(Student_Test_Profiles!$O$3:$Y$3,Program_Master!$X$2:$AH$2)/100</x:f>
        <x:v>40</x:v>
      </x:c>
      <x:c r="J16" s="22" t="n">
        <x:f>SUMPRODUCT(Student_Test_Profiles!$Z$3:$AE$3,Program_Master!$R$2:$W$2)/100</x:f>
        <x:v>66.45</x:v>
      </x:c>
      <x:c r="K16" s="22" t="n">
        <x:f>IF(F16="Eligible",H16*0.5+I16*0.3+J16*0.2,"")</x:f>
        <x:v>61.623333333333335</x:v>
      </x:c>
      <x:c r="L16" s="22" t="n">
        <x:f>IF(F16&lt;&gt;"Eligible","",1+COUNTIFS($F$16:$F$29,"Eligible",$K$16:$K$29,"&gt;"&amp;K16))</x:f>
        <x:v>7</x:v>
      </x:c>
      <x:c r="M16" s="22" t="str">
        <x:f>IF(K16="","",IF(K16&gt;=85,"Excellent Match",IF(K16&gt;=75,"Strong Match",IF(K16&gt;=65,"Good Match",IF(K16&gt;=55,"Moderate Match","Weak Match")))))</x:f>
        <x:v>Moderate Match</x:v>
      </x:c>
      <x:c r="N16" s="12" t="str">
        <x:v>Biology/health profile has no close clinical program at SIBAU; all non-engineering programs are still eligible, but results should be described as alternatives.</x:v>
      </x:c>
    </x:row>
    <x:row r="17">
      <x:c r="A17" s="12" t="str">
        <x:f>Student_Test_Profiles!A3</x:f>
        <x:v>TEST-B</x:v>
      </x:c>
      <x:c r="B17" s="12" t="str">
        <x:f>Student_Test_Profiles!B3</x:f>
        <x:v>Biology and Health-Oriented Student</x:v>
      </x:c>
      <x:c r="C17" s="12" t="str">
        <x:f>Program_Master!A3</x:f>
        <x:v>SIBAU-BBA-AGRI</x:v>
      </x:c>
      <x:c r="D17" s="12" t="str">
        <x:f>Program_Master!B3</x:f>
        <x:v>BBA (Agribusiness)</x:v>
      </x:c>
      <x:c r="E17" s="12" t="str">
        <x:f>Program_Master!C3</x:f>
        <x:v>Business &amp; Agriculture</x:v>
      </x:c>
      <x:c r="F17" s="12" t="str">
        <x:f>IF(Student_Test_Profiles!$AF$3&lt;Program_Master!$H$3,"Not Eligible",IF(C17="SIBAU-BEEE",IF(AND(Student_Test_Profiles!$C$3="Pre-Engineering",Student_Test_Profiles!$F$3&gt;=Program_Master!$G$3,Student_Test_Profiles!$G$3&gt;=Program_Master!$G$3),"Eligible","Not Eligible"),IF(C17="SIBAU-BECSE",IF(AND(OR(Student_Test_Profiles!$C$3="Pre-Engineering",Student_Test_Profiles!$C$3="ICS"),Student_Test_Profiles!$F$3&gt;=Program_Master!$G$3,OR(Student_Test_Profiles!$G$3&gt;=Program_Master!$G$3,Student_Test_Profiles!$H$3&gt;=Program_Master!$G$3)),"Eligible","Not Eligible"),"Eligible")))</x:f>
        <x:v>Eligible</x:v>
      </x:c>
      <x:c r="G17" s="12" t="str">
        <x:f>IF(F17="Eligible",IF(OR(C17="SIBAU-BEEE",C17="SIBAU-BECSE"),"Meets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7" s="22" t="n">
        <x:f>IFERROR(SUMPRODUCT(Student_Test_Profiles!$F$3:$N$3,Program_Master!$I$3:$Q$3)/SUMPRODUCT(--(Student_Test_Profiles!$F$3:$N$3&lt;&gt;""),Program_Master!$I$3:$Q$3),"")</x:f>
        <x:v>76.8</x:v>
      </x:c>
      <x:c r="I17" s="22" t="n">
        <x:f>SUMPRODUCT(Student_Test_Profiles!$O$3:$Y$3,Program_Master!$X$3:$AH$3)/100</x:f>
        <x:v>34.25</x:v>
      </x:c>
      <x:c r="J17" s="22" t="n">
        <x:f>SUMPRODUCT(Student_Test_Profiles!$Z$3:$AE$3,Program_Master!$R$3:$W$3)/100</x:f>
        <x:v>66.35</x:v>
      </x:c>
      <x:c r="K17" s="22" t="n">
        <x:f>IF(F17="Eligible",H17*0.5+I17*0.3+J17*0.2,"")</x:f>
        <x:v>61.94499999999999</x:v>
      </x:c>
      <x:c r="L17" s="22" t="n">
        <x:f>IF(F17&lt;&gt;"Eligible","",1+COUNTIFS($F$16:$F$29,"Eligible",$K$16:$K$29,"&gt;"&amp;K17))</x:f>
        <x:v>5</x:v>
      </x:c>
      <x:c r="M17" s="22" t="str">
        <x:f>IF(K17="","",IF(K17&gt;=85,"Excellent Match",IF(K17&gt;=75,"Strong Match",IF(K17&gt;=65,"Good Match",IF(K17&gt;=55,"Moderate Match","Weak Match")))))</x:f>
        <x:v>Moderate Match</x:v>
      </x:c>
      <x:c r="N17" s="12" t="str">
        <x:v>Biology/health profile has no close clinical program at SIBAU; all non-engineering programs are still eligible, but results should be described as alternatives.</x:v>
      </x:c>
    </x:row>
    <x:row r="18">
      <x:c r="A18" s="12" t="str">
        <x:f>Student_Test_Profiles!A3</x:f>
        <x:v>TEST-B</x:v>
      </x:c>
      <x:c r="B18" s="12" t="str">
        <x:f>Student_Test_Profiles!B3</x:f>
        <x:v>Biology and Health-Oriented Student</x:v>
      </x:c>
      <x:c r="C18" s="12" t="str">
        <x:f>Program_Master!A4</x:f>
        <x:v>SIBAU-BSCS</x:v>
      </x:c>
      <x:c r="D18" s="12" t="str">
        <x:f>Program_Master!B4</x:f>
        <x:v>BS Computer Science</x:v>
      </x:c>
      <x:c r="E18" s="12" t="str">
        <x:f>Program_Master!C4</x:f>
        <x:v>Computing</x:v>
      </x:c>
      <x:c r="F18" s="12" t="str">
        <x:f>IF(Student_Test_Profiles!$AF$3&lt;Program_Master!$H$4,"Not Eligible",IF(C18="SIBAU-BEEE",IF(AND(Student_Test_Profiles!$C$3="Pre-Engineering",Student_Test_Profiles!$F$3&gt;=Program_Master!$G$4,Student_Test_Profiles!$G$3&gt;=Program_Master!$G$4),"Eligible","Not Eligible"),IF(C18="SIBAU-BECSE",IF(AND(OR(Student_Test_Profiles!$C$3="Pre-Engineering",Student_Test_Profiles!$C$3="ICS"),Student_Test_Profiles!$F$3&gt;=Program_Master!$G$4,OR(Student_Test_Profiles!$G$3&gt;=Program_Master!$G$4,Student_Test_Profiles!$H$3&gt;=Program_Master!$G$4)),"Eligible","Not Eligible"),"Eligible")))</x:f>
        <x:v>Eligible</x:v>
      </x:c>
      <x:c r="G18" s="12" t="str">
        <x:f>IF(F18="Eligible",IF(OR(C18="SIBAU-BEEE",C18="SIBAU-BECSE"),"Meets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8" s="22" t="n">
        <x:f>IFERROR(SUMPRODUCT(Student_Test_Profiles!$F$3:$N$3,Program_Master!$I$4:$Q$4)/SUMPRODUCT(--(Student_Test_Profiles!$F$3:$N$3&lt;&gt;""),Program_Master!$I$4:$Q$4),"")</x:f>
        <x:v>74.57142857142857</x:v>
      </x:c>
      <x:c r="I18" s="22" t="n">
        <x:f>SUMPRODUCT(Student_Test_Profiles!$O$3:$Y$3,Program_Master!$X$4:$AH$4)/100</x:f>
        <x:v>36.75</x:v>
      </x:c>
      <x:c r="J18" s="22" t="n">
        <x:f>SUMPRODUCT(Student_Test_Profiles!$Z$3:$AE$3,Program_Master!$R$4:$W$4)/100</x:f>
        <x:v>62.05</x:v>
      </x:c>
      <x:c r="K18" s="22" t="n">
        <x:f>IF(F18="Eligible",H18*0.5+I18*0.3+J18*0.2,"")</x:f>
        <x:v>60.72071428571428</x:v>
      </x:c>
      <x:c r="L18" s="22" t="n">
        <x:f>IF(F18&lt;&gt;"Eligible","",1+COUNTIFS($F$16:$F$29,"Eligible",$K$16:$K$29,"&gt;"&amp;K18))</x:f>
        <x:v>9</x:v>
      </x:c>
      <x:c r="M18" s="22" t="str">
        <x:f>IF(K18="","",IF(K18&gt;=85,"Excellent Match",IF(K18&gt;=75,"Strong Match",IF(K18&gt;=65,"Good Match",IF(K18&gt;=55,"Moderate Match","Weak Match")))))</x:f>
        <x:v>Moderate Match</x:v>
      </x:c>
      <x:c r="N18" s="12" t="str">
        <x:v>Biology/health profile has no close clinical program at SIBAU; all non-engineering programs are still eligible, but results should be described as alternatives.</x:v>
      </x:c>
    </x:row>
    <x:row r="19">
      <x:c r="A19" s="12" t="str">
        <x:f>Student_Test_Profiles!A3</x:f>
        <x:v>TEST-B</x:v>
      </x:c>
      <x:c r="B19" s="12" t="str">
        <x:f>Student_Test_Profiles!B3</x:f>
        <x:v>Biology and Health-Oriented Student</x:v>
      </x:c>
      <x:c r="C19" s="12" t="str">
        <x:f>Program_Master!A5</x:f>
        <x:v>SIBAU-BSSE</x:v>
      </x:c>
      <x:c r="D19" s="12" t="str">
        <x:f>Program_Master!B5</x:f>
        <x:v>BS Software Engineering</x:v>
      </x:c>
      <x:c r="E19" s="12" t="str">
        <x:f>Program_Master!C5</x:f>
        <x:v>Computing</x:v>
      </x:c>
      <x:c r="F19" s="12" t="str">
        <x:f>IF(Student_Test_Profiles!$AF$3&lt;Program_Master!$H$5,"Not Eligible",IF(C19="SIBAU-BEEE",IF(AND(Student_Test_Profiles!$C$3="Pre-Engineering",Student_Test_Profiles!$F$3&gt;=Program_Master!$G$5,Student_Test_Profiles!$G$3&gt;=Program_Master!$G$5),"Eligible","Not Eligible"),IF(C19="SIBAU-BECSE",IF(AND(OR(Student_Test_Profiles!$C$3="Pre-Engineering",Student_Test_Profiles!$C$3="ICS"),Student_Test_Profiles!$F$3&gt;=Program_Master!$G$5,OR(Student_Test_Profiles!$G$3&gt;=Program_Master!$G$5,Student_Test_Profiles!$H$3&gt;=Program_Master!$G$5)),"Eligible","Not Eligible"),"Eligible")))</x:f>
        <x:v>Eligible</x:v>
      </x:c>
      <x:c r="G19" s="12" t="str">
        <x:f>IF(F19="Eligible",IF(OR(C19="SIBAU-BEEE",C19="SIBAU-BECSE"),"Meets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19" s="22" t="n">
        <x:f>IFERROR(SUMPRODUCT(Student_Test_Profiles!$F$3:$N$3,Program_Master!$I$5:$Q$5)/SUMPRODUCT(--(Student_Test_Profiles!$F$3:$N$3&lt;&gt;""),Program_Master!$I$5:$Q$5),"")</x:f>
        <x:v>73.75</x:v>
      </x:c>
      <x:c r="I19" s="22" t="n">
        <x:f>SUMPRODUCT(Student_Test_Profiles!$O$3:$Y$3,Program_Master!$X$5:$AH$5)/100</x:f>
        <x:v>36</x:v>
      </x:c>
      <x:c r="J19" s="22" t="n">
        <x:f>SUMPRODUCT(Student_Test_Profiles!$Z$3:$AE$3,Program_Master!$R$5:$W$5)/100</x:f>
        <x:v>64</x:v>
      </x:c>
      <x:c r="K19" s="22" t="n">
        <x:f>IF(F19="Eligible",H19*0.5+I19*0.3+J19*0.2,"")</x:f>
        <x:v>60.474999999999994</x:v>
      </x:c>
      <x:c r="L19" s="22" t="n">
        <x:f>IF(F19&lt;&gt;"Eligible","",1+COUNTIFS($F$16:$F$29,"Eligible",$K$16:$K$29,"&gt;"&amp;K19))</x:f>
        <x:v>10</x:v>
      </x:c>
      <x:c r="M19" s="22" t="str">
        <x:f>IF(K19="","",IF(K19&gt;=85,"Excellent Match",IF(K19&gt;=75,"Strong Match",IF(K19&gt;=65,"Good Match",IF(K19&gt;=55,"Moderate Match","Weak Match")))))</x:f>
        <x:v>Moderate Match</x:v>
      </x:c>
      <x:c r="N19" s="12" t="str">
        <x:v>Biology/health profile has no close clinical program at SIBAU; all non-engineering programs are still eligible, but results should be described as alternatives.</x:v>
      </x:c>
    </x:row>
    <x:row r="20">
      <x:c r="A20" s="12" t="str">
        <x:f>Student_Test_Profiles!A3</x:f>
        <x:v>TEST-B</x:v>
      </x:c>
      <x:c r="B20" s="12" t="str">
        <x:f>Student_Test_Profiles!B3</x:f>
        <x:v>Biology and Health-Oriented Student</x:v>
      </x:c>
      <x:c r="C20" s="12" t="str">
        <x:f>Program_Master!A6</x:f>
        <x:v>SIBAU-BSAI</x:v>
      </x:c>
      <x:c r="D20" s="12" t="str">
        <x:f>Program_Master!B6</x:f>
        <x:v>BS Artificial Intelligence</x:v>
      </x:c>
      <x:c r="E20" s="12" t="str">
        <x:f>Program_Master!C6</x:f>
        <x:v>Computing &amp; AI</x:v>
      </x:c>
      <x:c r="F20" s="12" t="str">
        <x:f>IF(Student_Test_Profiles!$AF$3&lt;Program_Master!$H$6,"Not Eligible",IF(C20="SIBAU-BEEE",IF(AND(Student_Test_Profiles!$C$3="Pre-Engineering",Student_Test_Profiles!$F$3&gt;=Program_Master!$G$6,Student_Test_Profiles!$G$3&gt;=Program_Master!$G$6),"Eligible","Not Eligible"),IF(C20="SIBAU-BECSE",IF(AND(OR(Student_Test_Profiles!$C$3="Pre-Engineering",Student_Test_Profiles!$C$3="ICS"),Student_Test_Profiles!$F$3&gt;=Program_Master!$G$6,OR(Student_Test_Profiles!$G$3&gt;=Program_Master!$G$6,Student_Test_Profiles!$H$3&gt;=Program_Master!$G$6)),"Eligible","Not Eligible"),"Eligible")))</x:f>
        <x:v>Eligible</x:v>
      </x:c>
      <x:c r="G20" s="12" t="str">
        <x:f>IF(F20="Eligible",IF(OR(C20="SIBAU-BEEE",C20="SIBAU-BECSE"),"Meets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0" s="22" t="n">
        <x:f>IFERROR(SUMPRODUCT(Student_Test_Profiles!$F$3:$N$3,Program_Master!$I$6:$Q$6)/SUMPRODUCT(--(Student_Test_Profiles!$F$3:$N$3&lt;&gt;""),Program_Master!$I$6:$Q$6),"")</x:f>
        <x:v>73.66666666666667</x:v>
      </x:c>
      <x:c r="I20" s="22" t="n">
        <x:f>SUMPRODUCT(Student_Test_Profiles!$O$3:$Y$3,Program_Master!$X$6:$AH$6)/100</x:f>
        <x:v>39.25</x:v>
      </x:c>
      <x:c r="J20" s="22" t="n">
        <x:f>SUMPRODUCT(Student_Test_Profiles!$Z$3:$AE$3,Program_Master!$R$6:$W$6)/100</x:f>
        <x:v>61.2</x:v>
      </x:c>
      <x:c r="K20" s="22" t="n">
        <x:f>IF(F20="Eligible",H20*0.5+I20*0.3+J20*0.2,"")</x:f>
        <x:v>60.848333333333336</x:v>
      </x:c>
      <x:c r="L20" s="22" t="n">
        <x:f>IF(F20&lt;&gt;"Eligible","",1+COUNTIFS($F$16:$F$29,"Eligible",$K$16:$K$29,"&gt;"&amp;K20))</x:f>
        <x:v>8</x:v>
      </x:c>
      <x:c r="M20" s="22" t="str">
        <x:f>IF(K20="","",IF(K20&gt;=85,"Excellent Match",IF(K20&gt;=75,"Strong Match",IF(K20&gt;=65,"Good Match",IF(K20&gt;=55,"Moderate Match","Weak Match")))))</x:f>
        <x:v>Moderate Match</x:v>
      </x:c>
      <x:c r="N20" s="12" t="str">
        <x:v>Biology/health profile has no close clinical program at SIBAU; all non-engineering programs are still eligible, but results should be described as alternatives.</x:v>
      </x:c>
    </x:row>
    <x:row r="21">
      <x:c r="A21" s="12" t="str">
        <x:f>Student_Test_Profiles!A3</x:f>
        <x:v>TEST-B</x:v>
      </x:c>
      <x:c r="B21" s="12" t="str">
        <x:f>Student_Test_Profiles!B3</x:f>
        <x:v>Biology and Health-Oriented Student</x:v>
      </x:c>
      <x:c r="C21" s="12" t="str">
        <x:f>Program_Master!A7</x:f>
        <x:v>SIBAU-BSAF</x:v>
      </x:c>
      <x:c r="D21" s="12" t="str">
        <x:f>Program_Master!B7</x:f>
        <x:v>BS Accounting &amp; Finance</x:v>
      </x:c>
      <x:c r="E21" s="12" t="str">
        <x:f>Program_Master!C7</x:f>
        <x:v>Business &amp; Finance</x:v>
      </x:c>
      <x:c r="F21" s="12" t="str">
        <x:f>IF(Student_Test_Profiles!$AF$3&lt;Program_Master!$H$7,"Not Eligible",IF(C21="SIBAU-BEEE",IF(AND(Student_Test_Profiles!$C$3="Pre-Engineering",Student_Test_Profiles!$F$3&gt;=Program_Master!$G$7,Student_Test_Profiles!$G$3&gt;=Program_Master!$G$7),"Eligible","Not Eligible"),IF(C21="SIBAU-BECSE",IF(AND(OR(Student_Test_Profiles!$C$3="Pre-Engineering",Student_Test_Profiles!$C$3="ICS"),Student_Test_Profiles!$F$3&gt;=Program_Master!$G$7,OR(Student_Test_Profiles!$G$3&gt;=Program_Master!$G$7,Student_Test_Profiles!$H$3&gt;=Program_Master!$G$7)),"Eligible","Not Eligible"),"Eligible")))</x:f>
        <x:v>Eligible</x:v>
      </x:c>
      <x:c r="G21" s="12" t="str">
        <x:f>IF(F21="Eligible",IF(OR(C21="SIBAU-BEEE",C21="SIBAU-BECSE"),"Meets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1" s="22" t="n">
        <x:f>IFERROR(SUMPRODUCT(Student_Test_Profiles!$F$3:$N$3,Program_Master!$I$7:$Q$7)/SUMPRODUCT(--(Student_Test_Profiles!$F$3:$N$3&lt;&gt;""),Program_Master!$I$7:$Q$7),"")</x:f>
        <x:v>73.2</x:v>
      </x:c>
      <x:c r="I21" s="22" t="n">
        <x:f>SUMPRODUCT(Student_Test_Profiles!$O$3:$Y$3,Program_Master!$X$7:$AH$7)/100</x:f>
        <x:v>32.75</x:v>
      </x:c>
      <x:c r="J21" s="22" t="n">
        <x:f>SUMPRODUCT(Student_Test_Profiles!$Z$3:$AE$3,Program_Master!$R$7:$W$7)/100</x:f>
        <x:v>66.4</x:v>
      </x:c>
      <x:c r="K21" s="22" t="n">
        <x:f>IF(F21="Eligible",H21*0.5+I21*0.3+J21*0.2,"")</x:f>
        <x:v>59.705</x:v>
      </x:c>
      <x:c r="L21" s="22" t="n">
        <x:f>IF(F21&lt;&gt;"Eligible","",1+COUNTIFS($F$16:$F$29,"Eligible",$K$16:$K$29,"&gt;"&amp;K21))</x:f>
        <x:v>11</x:v>
      </x:c>
      <x:c r="M21" s="22" t="str">
        <x:f>IF(K21="","",IF(K21&gt;=85,"Excellent Match",IF(K21&gt;=75,"Strong Match",IF(K21&gt;=65,"Good Match",IF(K21&gt;=55,"Moderate Match","Weak Match")))))</x:f>
        <x:v>Moderate Match</x:v>
      </x:c>
      <x:c r="N21" s="12" t="str">
        <x:v>Biology/health profile has no close clinical program at SIBAU; all non-engineering programs are still eligible, but results should be described as alternatives.</x:v>
      </x:c>
    </x:row>
    <x:row r="22">
      <x:c r="A22" s="12" t="str">
        <x:f>Student_Test_Profiles!A3</x:f>
        <x:v>TEST-B</x:v>
      </x:c>
      <x:c r="B22" s="12" t="str">
        <x:f>Student_Test_Profiles!B3</x:f>
        <x:v>Biology and Health-Oriented Student</x:v>
      </x:c>
      <x:c r="C22" s="12" t="str">
        <x:f>Program_Master!A8</x:f>
        <x:v>SIBAU-BSECO</x:v>
      </x:c>
      <x:c r="D22" s="12" t="str">
        <x:f>Program_Master!B8</x:f>
        <x:v>BS Economics</x:v>
      </x:c>
      <x:c r="E22" s="12" t="str">
        <x:f>Program_Master!C8</x:f>
        <x:v>Economics &amp; Social Science</x:v>
      </x:c>
      <x:c r="F22" s="12" t="str">
        <x:f>IF(Student_Test_Profiles!$AF$3&lt;Program_Master!$H$8,"Not Eligible",IF(C22="SIBAU-BEEE",IF(AND(Student_Test_Profiles!$C$3="Pre-Engineering",Student_Test_Profiles!$F$3&gt;=Program_Master!$G$8,Student_Test_Profiles!$G$3&gt;=Program_Master!$G$8),"Eligible","Not Eligible"),IF(C22="SIBAU-BECSE",IF(AND(OR(Student_Test_Profiles!$C$3="Pre-Engineering",Student_Test_Profiles!$C$3="ICS"),Student_Test_Profiles!$F$3&gt;=Program_Master!$G$8,OR(Student_Test_Profiles!$G$3&gt;=Program_Master!$G$8,Student_Test_Profiles!$H$3&gt;=Program_Master!$G$8)),"Eligible","Not Eligible"),"Eligible")))</x:f>
        <x:v>Eligible</x:v>
      </x:c>
      <x:c r="G22" s="12" t="str">
        <x:f>IF(F22="Eligible",IF(OR(C22="SIBAU-BEEE",C22="SIBAU-BECSE"),"Meets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2" s="22" t="n">
        <x:f>IFERROR(SUMPRODUCT(Student_Test_Profiles!$F$3:$N$3,Program_Master!$I$8:$Q$8)/SUMPRODUCT(--(Student_Test_Profiles!$F$3:$N$3&lt;&gt;""),Program_Master!$I$8:$Q$8),"")</x:f>
        <x:v>73</x:v>
      </x:c>
      <x:c r="I22" s="22" t="n">
        <x:f>SUMPRODUCT(Student_Test_Profiles!$O$3:$Y$3,Program_Master!$X$8:$AH$8)/100</x:f>
        <x:v>40.5</x:v>
      </x:c>
      <x:c r="J22" s="22" t="n">
        <x:f>SUMPRODUCT(Student_Test_Profiles!$Z$3:$AE$3,Program_Master!$R$8:$W$8)/100</x:f>
        <x:v>67</x:v>
      </x:c>
      <x:c r="K22" s="22" t="n">
        <x:f>IF(F22="Eligible",H22*0.5+I22*0.3+J22*0.2,"")</x:f>
        <x:v>62.05</x:v>
      </x:c>
      <x:c r="L22" s="22" t="n">
        <x:f>IF(F22&lt;&gt;"Eligible","",1+COUNTIFS($F$16:$F$29,"Eligible",$K$16:$K$29,"&gt;"&amp;K22))</x:f>
        <x:v>4</x:v>
      </x:c>
      <x:c r="M22" s="22" t="str">
        <x:f>IF(K22="","",IF(K22&gt;=85,"Excellent Match",IF(K22&gt;=75,"Strong Match",IF(K22&gt;=65,"Good Match",IF(K22&gt;=55,"Moderate Match","Weak Match")))))</x:f>
        <x:v>Moderate Match</x:v>
      </x:c>
      <x:c r="N22" s="12" t="str">
        <x:v>Biology/health profile has no close clinical program at SIBAU; all non-engineering programs are still eligible, but results should be described as alternatives.</x:v>
      </x:c>
    </x:row>
    <x:row r="23">
      <x:c r="A23" s="12" t="str">
        <x:f>Student_Test_Profiles!A3</x:f>
        <x:v>TEST-B</x:v>
      </x:c>
      <x:c r="B23" s="12" t="str">
        <x:f>Student_Test_Profiles!B3</x:f>
        <x:v>Biology and Health-Oriented Student</x:v>
      </x:c>
      <x:c r="C23" s="12" t="str">
        <x:f>Program_Master!A9</x:f>
        <x:v>SIBAU-BSMATH</x:v>
      </x:c>
      <x:c r="D23" s="12" t="str">
        <x:f>Program_Master!B9</x:f>
        <x:v>BS Mathematics</x:v>
      </x:c>
      <x:c r="E23" s="12" t="str">
        <x:f>Program_Master!C9</x:f>
        <x:v>Mathematics &amp; Sciences</x:v>
      </x:c>
      <x:c r="F23" s="12" t="str">
        <x:f>IF(Student_Test_Profiles!$AF$3&lt;Program_Master!$H$9,"Not Eligible",IF(C23="SIBAU-BEEE",IF(AND(Student_Test_Profiles!$C$3="Pre-Engineering",Student_Test_Profiles!$F$3&gt;=Program_Master!$G$9,Student_Test_Profiles!$G$3&gt;=Program_Master!$G$9),"Eligible","Not Eligible"),IF(C23="SIBAU-BECSE",IF(AND(OR(Student_Test_Profiles!$C$3="Pre-Engineering",Student_Test_Profiles!$C$3="ICS"),Student_Test_Profiles!$F$3&gt;=Program_Master!$G$9,OR(Student_Test_Profiles!$G$3&gt;=Program_Master!$G$9,Student_Test_Profiles!$H$3&gt;=Program_Master!$G$9)),"Eligible","Not Eligible"),"Eligible")))</x:f>
        <x:v>Eligible</x:v>
      </x:c>
      <x:c r="G23" s="12" t="str">
        <x:f>IF(F23="Eligible",IF(OR(C23="SIBAU-BEEE",C23="SIBAU-BECSE"),"Meets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3" s="22" t="n">
        <x:f>IFERROR(SUMPRODUCT(Student_Test_Profiles!$F$3:$N$3,Program_Master!$I$9:$Q$9)/SUMPRODUCT(--(Student_Test_Profiles!$F$3:$N$3&lt;&gt;""),Program_Master!$I$9:$Q$9),"")</x:f>
        <x:v>75.14285714285714</x:v>
      </x:c>
      <x:c r="I23" s="22" t="n">
        <x:f>SUMPRODUCT(Student_Test_Profiles!$O$3:$Y$3,Program_Master!$X$9:$AH$9)/100</x:f>
        <x:v>41.25</x:v>
      </x:c>
      <x:c r="J23" s="22" t="n">
        <x:f>SUMPRODUCT(Student_Test_Profiles!$Z$3:$AE$3,Program_Master!$R$9:$W$9)/100</x:f>
        <x:v>59.85</x:v>
      </x:c>
      <x:c r="K23" s="22" t="n">
        <x:f>IF(F23="Eligible",H23*0.5+I23*0.3+J23*0.2,"")</x:f>
        <x:v>61.91642857142857</x:v>
      </x:c>
      <x:c r="L23" s="22" t="n">
        <x:f>IF(F23&lt;&gt;"Eligible","",1+COUNTIFS($F$16:$F$29,"Eligible",$K$16:$K$29,"&gt;"&amp;K23))</x:f>
        <x:v>6</x:v>
      </x:c>
      <x:c r="M23" s="22" t="str">
        <x:f>IF(K23="","",IF(K23&gt;=85,"Excellent Match",IF(K23&gt;=75,"Strong Match",IF(K23&gt;=65,"Good Match",IF(K23&gt;=55,"Moderate Match","Weak Match")))))</x:f>
        <x:v>Moderate Match</x:v>
      </x:c>
      <x:c r="N23" s="12" t="str">
        <x:v>Biology/health profile has no close clinical program at SIBAU; all non-engineering programs are still eligible, but results should be described as alternatives.</x:v>
      </x:c>
    </x:row>
    <x:row r="24">
      <x:c r="A24" s="12" t="str">
        <x:f>Student_Test_Profiles!A3</x:f>
        <x:v>TEST-B</x:v>
      </x:c>
      <x:c r="B24" s="12" t="str">
        <x:f>Student_Test_Profiles!B3</x:f>
        <x:v>Biology and Health-Oriented Student</x:v>
      </x:c>
      <x:c r="C24" s="12" t="str">
        <x:f>Program_Master!A10</x:f>
        <x:v>SIBAU-BSMC</x:v>
      </x:c>
      <x:c r="D24" s="12" t="str">
        <x:f>Program_Master!B10</x:f>
        <x:v>BS Media &amp; Communication</x:v>
      </x:c>
      <x:c r="E24" s="12" t="str">
        <x:f>Program_Master!C10</x:f>
        <x:v>Media &amp; Communication</x:v>
      </x:c>
      <x:c r="F24" s="12" t="str">
        <x:f>IF(Student_Test_Profiles!$AF$3&lt;Program_Master!$H$10,"Not Eligible",IF(C24="SIBAU-BEEE",IF(AND(Student_Test_Profiles!$C$3="Pre-Engineering",Student_Test_Profiles!$F$3&gt;=Program_Master!$G$10,Student_Test_Profiles!$G$3&gt;=Program_Master!$G$10),"Eligible","Not Eligible"),IF(C24="SIBAU-BECSE",IF(AND(OR(Student_Test_Profiles!$C$3="Pre-Engineering",Student_Test_Profiles!$C$3="ICS"),Student_Test_Profiles!$F$3&gt;=Program_Master!$G$10,OR(Student_Test_Profiles!$G$3&gt;=Program_Master!$G$10,Student_Test_Profiles!$H$3&gt;=Program_Master!$G$10)),"Eligible","Not Eligible"),"Eligible")))</x:f>
        <x:v>Eligible</x:v>
      </x:c>
      <x:c r="G24" s="12" t="str">
        <x:f>IF(F24="Eligible",IF(OR(C24="SIBAU-BEEE",C24="SIBAU-BECSE"),"Meets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4" s="22" t="n">
        <x:f>IFERROR(SUMPRODUCT(Student_Test_Profiles!$F$3:$N$3,Program_Master!$I$10:$Q$10)/SUMPRODUCT(--(Student_Test_Profiles!$F$3:$N$3&lt;&gt;""),Program_Master!$I$10:$Q$10),"")</x:f>
        <x:v>72.77777777777777</x:v>
      </x:c>
      <x:c r="I24" s="22" t="n">
        <x:f>SUMPRODUCT(Student_Test_Profiles!$O$3:$Y$3,Program_Master!$X$10:$AH$10)/100</x:f>
        <x:v>30.5</x:v>
      </x:c>
      <x:c r="J24" s="22" t="n">
        <x:f>SUMPRODUCT(Student_Test_Profiles!$Z$3:$AE$3,Program_Master!$R$10:$W$10)/100</x:f>
        <x:v>66.25</x:v>
      </x:c>
      <x:c r="K24" s="22" t="n">
        <x:f>IF(F24="Eligible",H24*0.5+I24*0.3+J24*0.2,"")</x:f>
        <x:v>58.788888888888884</x:v>
      </x:c>
      <x:c r="L24" s="22" t="n">
        <x:f>IF(F24&lt;&gt;"Eligible","",1+COUNTIFS($F$16:$F$29,"Eligible",$K$16:$K$29,"&gt;"&amp;K24))</x:f>
        <x:v>12</x:v>
      </x:c>
      <x:c r="M24" s="22" t="str">
        <x:f>IF(K24="","",IF(K24&gt;=85,"Excellent Match",IF(K24&gt;=75,"Strong Match",IF(K24&gt;=65,"Good Match",IF(K24&gt;=55,"Moderate Match","Weak Match")))))</x:f>
        <x:v>Moderate Match</x:v>
      </x:c>
      <x:c r="N24" s="12" t="str">
        <x:v>Biology/health profile has no close clinical program at SIBAU; all non-engineering programs are still eligible, but results should be described as alternatives.</x:v>
      </x:c>
    </x:row>
    <x:row r="25">
      <x:c r="A25" s="12" t="str">
        <x:f>Student_Test_Profiles!A3</x:f>
        <x:v>TEST-B</x:v>
      </x:c>
      <x:c r="B25" s="12" t="str">
        <x:f>Student_Test_Profiles!B3</x:f>
        <x:v>Biology and Health-Oriented Student</x:v>
      </x:c>
      <x:c r="C25" s="12" t="str">
        <x:f>Program_Master!A11</x:f>
        <x:v>SIBAU-BSPESS</x:v>
      </x:c>
      <x:c r="D25" s="12" t="str">
        <x:f>Program_Master!B11</x:f>
        <x:v>BS Physical Education &amp; Sports Sciences</x:v>
      </x:c>
      <x:c r="E25" s="12" t="str">
        <x:f>Program_Master!C11</x:f>
        <x:v>Sports &amp; Health</x:v>
      </x:c>
      <x:c r="F25" s="12" t="str">
        <x:f>IF(Student_Test_Profiles!$AF$3&lt;Program_Master!$H$11,"Not Eligible",IF(C25="SIBAU-BEEE",IF(AND(Student_Test_Profiles!$C$3="Pre-Engineering",Student_Test_Profiles!$F$3&gt;=Program_Master!$G$11,Student_Test_Profiles!$G$3&gt;=Program_Master!$G$11),"Eligible","Not Eligible"),IF(C25="SIBAU-BECSE",IF(AND(OR(Student_Test_Profiles!$C$3="Pre-Engineering",Student_Test_Profiles!$C$3="ICS"),Student_Test_Profiles!$F$3&gt;=Program_Master!$G$11,OR(Student_Test_Profiles!$G$3&gt;=Program_Master!$G$11,Student_Test_Profiles!$H$3&gt;=Program_Master!$G$11)),"Eligible","Not Eligible"),"Eligible")))</x:f>
        <x:v>Eligible</x:v>
      </x:c>
      <x:c r="G25" s="12" t="str">
        <x:f>IF(F25="Eligible",IF(OR(C25="SIBAU-BEEE",C25="SIBAU-BECSE"),"Meets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5" s="22" t="n">
        <x:f>IFERROR(SUMPRODUCT(Student_Test_Profiles!$F$3:$N$3,Program_Master!$I$11:$Q$11)/SUMPRODUCT(--(Student_Test_Profiles!$F$3:$N$3&lt;&gt;""),Program_Master!$I$11:$Q$11),"")</x:f>
        <x:v>76.94736842105263</x:v>
      </x:c>
      <x:c r="I25" s="22" t="n">
        <x:f>SUMPRODUCT(Student_Test_Profiles!$O$3:$Y$3,Program_Master!$X$11:$AH$11)/100</x:f>
        <x:v>66</x:v>
      </x:c>
      <x:c r="J25" s="22" t="n">
        <x:f>SUMPRODUCT(Student_Test_Profiles!$Z$3:$AE$3,Program_Master!$R$11:$W$11)/100</x:f>
        <x:v>66.7</x:v>
      </x:c>
      <x:c r="K25" s="22" t="n">
        <x:f>IF(F25="Eligible",H25*0.5+I25*0.3+J25*0.2,"")</x:f>
        <x:v>71.61368421052632</x:v>
      </x:c>
      <x:c r="L25" s="22" t="n">
        <x:f>IF(F25&lt;&gt;"Eligible","",1+COUNTIFS($F$16:$F$29,"Eligible",$K$16:$K$29,"&gt;"&amp;K25))</x:f>
        <x:v>1</x:v>
      </x:c>
      <x:c r="M25" s="22" t="str">
        <x:f>IF(K25="","",IF(K25&gt;=85,"Excellent Match",IF(K25&gt;=75,"Strong Match",IF(K25&gt;=65,"Good Match",IF(K25&gt;=55,"Moderate Match","Weak Match")))))</x:f>
        <x:v>Good Match</x:v>
      </x:c>
      <x:c r="N25" s="12" t="str">
        <x:v>Biology/health profile has no close clinical program at SIBAU; all non-engineering programs are still eligible, but results should be described as alternatives.</x:v>
      </x:c>
    </x:row>
    <x:row r="26">
      <x:c r="A26" s="12" t="str">
        <x:f>Student_Test_Profiles!A3</x:f>
        <x:v>TEST-B</x:v>
      </x:c>
      <x:c r="B26" s="12" t="str">
        <x:f>Student_Test_Profiles!B3</x:f>
        <x:v>Biology and Health-Oriented Student</x:v>
      </x:c>
      <x:c r="C26" s="12" t="str">
        <x:f>Program_Master!A12</x:f>
        <x:v>SIBAU-ADPESS</x:v>
      </x:c>
      <x:c r="D26" s="12" t="str">
        <x:f>Program_Master!B12</x:f>
        <x:v>Associate Degree in Physical Education &amp; Sports Sciences</x:v>
      </x:c>
      <x:c r="E26" s="12" t="str">
        <x:f>Program_Master!C12</x:f>
        <x:v>Sports &amp; Health</x:v>
      </x:c>
      <x:c r="F26" s="12" t="str">
        <x:f>IF(Student_Test_Profiles!$AF$3&lt;Program_Master!$H$12,"Not Eligible",IF(C26="SIBAU-BEEE",IF(AND(Student_Test_Profiles!$C$3="Pre-Engineering",Student_Test_Profiles!$F$3&gt;=Program_Master!$G$12,Student_Test_Profiles!$G$3&gt;=Program_Master!$G$12),"Eligible","Not Eligible"),IF(C26="SIBAU-BECSE",IF(AND(OR(Student_Test_Profiles!$C$3="Pre-Engineering",Student_Test_Profiles!$C$3="ICS"),Student_Test_Profiles!$F$3&gt;=Program_Master!$G$12,OR(Student_Test_Profiles!$G$3&gt;=Program_Master!$G$12,Student_Test_Profiles!$H$3&gt;=Program_Master!$G$12)),"Eligible","Not Eligible"),"Eligible")))</x:f>
        <x:v>Eligible</x:v>
      </x:c>
      <x:c r="G26" s="12" t="str">
        <x:f>IF(F26="Eligible",IF(OR(C26="SIBAU-BEEE",C26="SIBAU-BECSE"),"Meets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6" s="22" t="n">
        <x:f>IFERROR(SUMPRODUCT(Student_Test_Profiles!$F$3:$N$3,Program_Master!$I$12:$Q$12)/SUMPRODUCT(--(Student_Test_Profiles!$F$3:$N$3&lt;&gt;""),Program_Master!$I$12:$Q$12),"")</x:f>
        <x:v>76.94736842105263</x:v>
      </x:c>
      <x:c r="I26" s="22" t="n">
        <x:f>SUMPRODUCT(Student_Test_Profiles!$O$3:$Y$3,Program_Master!$X$12:$AH$12)/100</x:f>
        <x:v>66</x:v>
      </x:c>
      <x:c r="J26" s="22" t="n">
        <x:f>SUMPRODUCT(Student_Test_Profiles!$Z$3:$AE$3,Program_Master!$R$12:$W$12)/100</x:f>
        <x:v>66.7</x:v>
      </x:c>
      <x:c r="K26" s="22" t="n">
        <x:f>IF(F26="Eligible",H26*0.5+I26*0.3+J26*0.2,"")</x:f>
        <x:v>71.61368421052632</x:v>
      </x:c>
      <x:c r="L26" s="22" t="n">
        <x:f>IF(F26&lt;&gt;"Eligible","",1+COUNTIFS($F$16:$F$29,"Eligible",$K$16:$K$29,"&gt;"&amp;K26))</x:f>
        <x:v>1</x:v>
      </x:c>
      <x:c r="M26" s="22" t="str">
        <x:f>IF(K26="","",IF(K26&gt;=85,"Excellent Match",IF(K26&gt;=75,"Strong Match",IF(K26&gt;=65,"Good Match",IF(K26&gt;=55,"Moderate Match","Weak Match")))))</x:f>
        <x:v>Good Match</x:v>
      </x:c>
      <x:c r="N26" s="12" t="str">
        <x:v>Biology/health profile has no close clinical program at SIBAU; all non-engineering programs are still eligible, but results should be described as alternatives.</x:v>
      </x:c>
    </x:row>
    <x:row r="27">
      <x:c r="A27" s="12" t="str">
        <x:f>Student_Test_Profiles!A3</x:f>
        <x:v>TEST-B</x:v>
      </x:c>
      <x:c r="B27" s="12" t="str">
        <x:f>Student_Test_Profiles!B3</x:f>
        <x:v>Biology and Health-Oriented Student</x:v>
      </x:c>
      <x:c r="C27" s="12" t="str">
        <x:f>Program_Master!A13</x:f>
        <x:v>SIBAU-BEEE</x:v>
      </x:c>
      <x:c r="D27" s="12" t="str">
        <x:f>Program_Master!B13</x:f>
        <x:v>BE Electrical Engineering</x:v>
      </x:c>
      <x:c r="E27" s="12" t="str">
        <x:f>Program_Master!C13</x:f>
        <x:v>Engineering</x:v>
      </x:c>
      <x:c r="F27" s="12" t="str">
        <x:f>IF(Student_Test_Profiles!$AF$3&lt;Program_Master!$H$13,"Not Eligible",IF(C27="SIBAU-BEEE",IF(AND(Student_Test_Profiles!$C$3="Pre-Engineering",Student_Test_Profiles!$F$3&gt;=Program_Master!$G$13,Student_Test_Profiles!$G$3&gt;=Program_Master!$G$13),"Eligible","Not Eligible"),IF(C27="SIBAU-BECSE",IF(AND(OR(Student_Test_Profiles!$C$3="Pre-Engineering",Student_Test_Profiles!$C$3="ICS"),Student_Test_Profiles!$F$3&gt;=Program_Master!$G$13,OR(Student_Test_Profiles!$G$3&gt;=Program_Master!$G$13,Student_Test_Profiles!$H$3&gt;=Program_Master!$G$13)),"Eligible","Not Eligible"),"Eligible")))</x:f>
        <x:v>Not Eligible</x:v>
      </x:c>
      <x:c r="G27" s="12" t="str">
        <x:f>IF(F27="Eligible",IF(OR(C27="SIBAU-BEEE",C27="SIBAU-BECSE"),"Meets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27" s="22" t="n">
        <x:f>IFERROR(SUMPRODUCT(Student_Test_Profiles!$F$3:$N$3,Program_Master!$I$13:$Q$13)/SUMPRODUCT(--(Student_Test_Profiles!$F$3:$N$3&lt;&gt;""),Program_Master!$I$13:$Q$13),"")</x:f>
        <x:v>78.36363636363636</x:v>
      </x:c>
      <x:c r="I27" s="22" t="n">
        <x:f>SUMPRODUCT(Student_Test_Profiles!$O$3:$Y$3,Program_Master!$X$13:$AH$13)/100</x:f>
        <x:v>33.5</x:v>
      </x:c>
      <x:c r="J27" s="22" t="n">
        <x:f>SUMPRODUCT(Student_Test_Profiles!$Z$3:$AE$3,Program_Master!$R$13:$W$13)/100</x:f>
        <x:v>57.05</x:v>
      </x:c>
      <x:c r="K27" s="22" t="str">
        <x:f>IF(F27="Eligible",H27*0.5+I27*0.3+J27*0.2,"")</x:f>
      </x:c>
      <x:c r="L27" s="22" t="str">
        <x:f>IF(F27&lt;&gt;"Eligible","",1+COUNTIFS($F$16:$F$29,"Eligible",$K$16:$K$29,"&gt;"&amp;K27))</x:f>
      </x:c>
      <x:c r="M27" s="22" t="str">
        <x:f>IF(K27="","",IF(K27&gt;=85,"Excellent Match",IF(K27&gt;=75,"Strong Match",IF(K27&gt;=65,"Good Match",IF(K27&gt;=55,"Moderate Match","Weak Match")))))</x:f>
      </x:c>
      <x:c r="N27" s="12" t="str">
        <x:v>Biology/health profile has no close clinical program at SIBAU; all non-engineering programs are still eligible, but results should be described as alternatives.</x:v>
      </x:c>
    </x:row>
    <x:row r="28">
      <x:c r="A28" s="12" t="str">
        <x:f>Student_Test_Profiles!A3</x:f>
        <x:v>TEST-B</x:v>
      </x:c>
      <x:c r="B28" s="12" t="str">
        <x:f>Student_Test_Profiles!B3</x:f>
        <x:v>Biology and Health-Oriented Student</x:v>
      </x:c>
      <x:c r="C28" s="12" t="str">
        <x:f>Program_Master!A14</x:f>
        <x:v>SIBAU-BECSE</x:v>
      </x:c>
      <x:c r="D28" s="12" t="str">
        <x:f>Program_Master!B14</x:f>
        <x:v>BE Computer Systems Engineering</x:v>
      </x:c>
      <x:c r="E28" s="12" t="str">
        <x:f>Program_Master!C14</x:f>
        <x:v>Engineering &amp; Computing</x:v>
      </x:c>
      <x:c r="F28" s="12" t="str">
        <x:f>IF(Student_Test_Profiles!$AF$3&lt;Program_Master!$H$14,"Not Eligible",IF(C28="SIBAU-BEEE",IF(AND(Student_Test_Profiles!$C$3="Pre-Engineering",Student_Test_Profiles!$F$3&gt;=Program_Master!$G$14,Student_Test_Profiles!$G$3&gt;=Program_Master!$G$14),"Eligible","Not Eligible"),IF(C28="SIBAU-BECSE",IF(AND(OR(Student_Test_Profiles!$C$3="Pre-Engineering",Student_Test_Profiles!$C$3="ICS"),Student_Test_Profiles!$F$3&gt;=Program_Master!$G$14,OR(Student_Test_Profiles!$G$3&gt;=Program_Master!$G$14,Student_Test_Profiles!$H$3&gt;=Program_Master!$G$14)),"Eligible","Not Eligible"),"Eligible")))</x:f>
        <x:v>Not Eligible</x:v>
      </x:c>
      <x:c r="G28" s="12" t="str">
        <x:f>IF(F28="Eligible",IF(OR(C28="SIBAU-BEEE",C28="SIBAU-BECSE"),"Meets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28" s="22" t="n">
        <x:f>IFERROR(SUMPRODUCT(Student_Test_Profiles!$F$3:$N$3,Program_Master!$I$14:$Q$14)/SUMPRODUCT(--(Student_Test_Profiles!$F$3:$N$3&lt;&gt;""),Program_Master!$I$14:$Q$14),"")</x:f>
        <x:v>75.5</x:v>
      </x:c>
      <x:c r="I28" s="22" t="n">
        <x:f>SUMPRODUCT(Student_Test_Profiles!$O$3:$Y$3,Program_Master!$X$14:$AH$14)/100</x:f>
        <x:v>34.25</x:v>
      </x:c>
      <x:c r="J28" s="22" t="n">
        <x:f>SUMPRODUCT(Student_Test_Profiles!$Z$3:$AE$3,Program_Master!$R$14:$W$14)/100</x:f>
        <x:v>57.65</x:v>
      </x:c>
      <x:c r="K28" s="22" t="str">
        <x:f>IF(F28="Eligible",H28*0.5+I28*0.3+J28*0.2,"")</x:f>
      </x:c>
      <x:c r="L28" s="22" t="str">
        <x:f>IF(F28&lt;&gt;"Eligible","",1+COUNTIFS($F$16:$F$29,"Eligible",$K$16:$K$29,"&gt;"&amp;K28))</x:f>
      </x:c>
      <x:c r="M28" s="22" t="str">
        <x:f>IF(K28="","",IF(K28&gt;=85,"Excellent Match",IF(K28&gt;=75,"Strong Match",IF(K28&gt;=65,"Good Match",IF(K28&gt;=55,"Moderate Match","Weak Match")))))</x:f>
      </x:c>
      <x:c r="N28" s="12" t="str">
        <x:v>Biology/health profile has no close clinical program at SIBAU; all non-engineering programs are still eligible, but results should be described as alternatives.</x:v>
      </x:c>
    </x:row>
    <x:row r="29">
      <x:c r="A29" s="12" t="str">
        <x:f>Student_Test_Profiles!A3</x:f>
        <x:v>TEST-B</x:v>
      </x:c>
      <x:c r="B29" s="12" t="str">
        <x:f>Student_Test_Profiles!B3</x:f>
        <x:v>Biology and Health-Oriented Student</x:v>
      </x:c>
      <x:c r="C29" s="12" t="str">
        <x:f>Program_Master!A15</x:f>
        <x:v>SIBAU-BEDH</x:v>
      </x:c>
      <x:c r="D29" s="12" t="str">
        <x:f>Program_Master!B15</x:f>
        <x:v>B.Ed (Hons)</x:v>
      </x:c>
      <x:c r="E29" s="12" t="str">
        <x:f>Program_Master!C15</x:f>
        <x:v>Education</x:v>
      </x:c>
      <x:c r="F29" s="12" t="str">
        <x:f>IF(Student_Test_Profiles!$AF$3&lt;Program_Master!$H$15,"Not Eligible",IF(C29="SIBAU-BEEE",IF(AND(Student_Test_Profiles!$C$3="Pre-Engineering",Student_Test_Profiles!$F$3&gt;=Program_Master!$G$15,Student_Test_Profiles!$G$3&gt;=Program_Master!$G$15),"Eligible","Not Eligible"),IF(C29="SIBAU-BECSE",IF(AND(OR(Student_Test_Profiles!$C$3="Pre-Engineering",Student_Test_Profiles!$C$3="ICS"),Student_Test_Profiles!$F$3&gt;=Program_Master!$G$15,OR(Student_Test_Profiles!$G$3&gt;=Program_Master!$G$15,Student_Test_Profiles!$H$3&gt;=Program_Master!$G$15)),"Eligible","Not Eligible"),"Eligible")))</x:f>
        <x:v>Eligible</x:v>
      </x:c>
      <x:c r="G29" s="12" t="str">
        <x:f>IF(F29="Eligible",IF(OR(C29="SIBAU-BEEE",C29="SIBAU-BECSE"),"Meets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29" s="22" t="n">
        <x:f>IFERROR(SUMPRODUCT(Student_Test_Profiles!$F$3:$N$3,Program_Master!$I$15:$Q$15)/SUMPRODUCT(--(Student_Test_Profiles!$F$3:$N$3&lt;&gt;""),Program_Master!$I$15:$Q$15),"")</x:f>
        <x:v>73.47368421052632</x:v>
      </x:c>
      <x:c r="I29" s="22" t="n">
        <x:f>SUMPRODUCT(Student_Test_Profiles!$O$3:$Y$3,Program_Master!$X$15:$AH$15)/100</x:f>
        <x:v>58</x:v>
      </x:c>
      <x:c r="J29" s="22" t="n">
        <x:f>SUMPRODUCT(Student_Test_Profiles!$Z$3:$AE$3,Program_Master!$R$15:$W$15)/100</x:f>
        <x:v>69.75</x:v>
      </x:c>
      <x:c r="K29" s="22" t="n">
        <x:f>IF(F29="Eligible",H29*0.5+I29*0.3+J29*0.2,"")</x:f>
        <x:v>68.08684210526316</x:v>
      </x:c>
      <x:c r="L29" s="22" t="n">
        <x:f>IF(F29&lt;&gt;"Eligible","",1+COUNTIFS($F$16:$F$29,"Eligible",$K$16:$K$29,"&gt;"&amp;K29))</x:f>
        <x:v>3</x:v>
      </x:c>
      <x:c r="M29" s="22" t="str">
        <x:f>IF(K29="","",IF(K29&gt;=85,"Excellent Match",IF(K29&gt;=75,"Strong Match",IF(K29&gt;=65,"Good Match",IF(K29&gt;=55,"Moderate Match","Weak Match")))))</x:f>
        <x:v>Good Match</x:v>
      </x:c>
      <x:c r="N29" s="12" t="str">
        <x:v>Biology/health profile has no close clinical program at SIBAU; all non-engineering programs are still eligible, but results should be described as alternatives.</x:v>
      </x:c>
    </x:row>
    <x:row r="30">
      <x:c r="A30" s="12" t="str">
        <x:f>Student_Test_Profiles!A4</x:f>
        <x:v>TEST-C</x:v>
      </x:c>
      <x:c r="B30" s="12" t="str">
        <x:f>Student_Test_Profiles!B4</x:f>
        <x:v>Commerce and Finance Student</x:v>
      </x:c>
      <x:c r="C30" s="12" t="str">
        <x:f>Program_Master!A2</x:f>
        <x:v>SIBAU-BBA</x:v>
      </x:c>
      <x:c r="D30" s="12" t="str">
        <x:f>Program_Master!B2</x:f>
        <x:v>Bachelor of Business Administration (BBA)</x:v>
      </x:c>
      <x:c r="E30" s="12" t="str">
        <x:f>Program_Master!C2</x:f>
        <x:v>Business &amp; Management</x:v>
      </x:c>
      <x:c r="F30" s="12" t="str">
        <x:f>IF(Student_Test_Profiles!$AF$4&lt;Program_Master!$H$2,"Not Eligible",IF(C30="SIBAU-BEEE",IF(AND(Student_Test_Profiles!$C$4="Pre-Engineering",Student_Test_Profiles!$F$4&gt;=Program_Master!$G$2,Student_Test_Profiles!$G$4&gt;=Program_Master!$G$2),"Eligible","Not Eligible"),IF(C30="SIBAU-BECSE",IF(AND(OR(Student_Test_Profiles!$C$4="Pre-Engineering",Student_Test_Profiles!$C$4="ICS"),Student_Test_Profiles!$F$4&gt;=Program_Master!$G$2,OR(Student_Test_Profiles!$G$4&gt;=Program_Master!$G$2,Student_Test_Profiles!$H$4&gt;=Program_Master!$G$2)),"Eligible","Not Eligible"),"Eligible")))</x:f>
        <x:v>Eligible</x:v>
      </x:c>
      <x:c r="G30" s="12" t="str">
        <x:f>IF(F30="Eligible",IF(OR(C30="SIBAU-BEEE",C30="SIBAU-BECSE"),"Meets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0" s="22" t="n">
        <x:f>IFERROR(SUMPRODUCT(Student_Test_Profiles!$F$4:$N$4,Program_Master!$I$2:$Q$2)/SUMPRODUCT(--(Student_Test_Profiles!$F$4:$N$4&lt;&gt;""),Program_Master!$I$2:$Q$2),"")</x:f>
        <x:v>77.8</x:v>
      </x:c>
      <x:c r="I30" s="22" t="n">
        <x:f>SUMPRODUCT(Student_Test_Profiles!$O$4:$Y$4,Program_Master!$X$2:$AH$2)/100</x:f>
        <x:v>80.1</x:v>
      </x:c>
      <x:c r="J30" s="22" t="n">
        <x:f>SUMPRODUCT(Student_Test_Profiles!$Z$4:$AE$4,Program_Master!$R$2:$W$2)/100</x:f>
        <x:v>73.85</x:v>
      </x:c>
      <x:c r="K30" s="22" t="n">
        <x:f>IF(F30="Eligible",H30*0.5+I30*0.3+J30*0.2,"")</x:f>
        <x:v>77.69999999999999</x:v>
      </x:c>
      <x:c r="L30" s="22" t="n">
        <x:f>IF(F30&lt;&gt;"Eligible","",1+COUNTIFS($F$30:$F$43,"Eligible",$K$30:$K$43,"&gt;"&amp;K30))</x:f>
        <x:v>2</x:v>
      </x:c>
      <x:c r="M30" s="22" t="str">
        <x:f>IF(K30="","",IF(K30&gt;=85,"Excellent Match",IF(K30&gt;=75,"Strong Match",IF(K30&gt;=65,"Good Match",IF(K30&gt;=55,"Moderate Match","Weak Match")))))</x:f>
        <x:v>Strong Match</x:v>
      </x:c>
      <x:c r="N30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1">
      <x:c r="A31" s="12" t="str">
        <x:f>Student_Test_Profiles!A4</x:f>
        <x:v>TEST-C</x:v>
      </x:c>
      <x:c r="B31" s="12" t="str">
        <x:f>Student_Test_Profiles!B4</x:f>
        <x:v>Commerce and Finance Student</x:v>
      </x:c>
      <x:c r="C31" s="12" t="str">
        <x:f>Program_Master!A3</x:f>
        <x:v>SIBAU-BBA-AGRI</x:v>
      </x:c>
      <x:c r="D31" s="12" t="str">
        <x:f>Program_Master!B3</x:f>
        <x:v>BBA (Agribusiness)</x:v>
      </x:c>
      <x:c r="E31" s="12" t="str">
        <x:f>Program_Master!C3</x:f>
        <x:v>Business &amp; Agriculture</x:v>
      </x:c>
      <x:c r="F31" s="12" t="str">
        <x:f>IF(Student_Test_Profiles!$AF$4&lt;Program_Master!$H$3,"Not Eligible",IF(C31="SIBAU-BEEE",IF(AND(Student_Test_Profiles!$C$4="Pre-Engineering",Student_Test_Profiles!$F$4&gt;=Program_Master!$G$3,Student_Test_Profiles!$G$4&gt;=Program_Master!$G$3),"Eligible","Not Eligible"),IF(C31="SIBAU-BECSE",IF(AND(OR(Student_Test_Profiles!$C$4="Pre-Engineering",Student_Test_Profiles!$C$4="ICS"),Student_Test_Profiles!$F$4&gt;=Program_Master!$G$3,OR(Student_Test_Profiles!$G$4&gt;=Program_Master!$G$3,Student_Test_Profiles!$H$4&gt;=Program_Master!$G$3)),"Eligible","Not Eligible"),"Eligible")))</x:f>
        <x:v>Eligible</x:v>
      </x:c>
      <x:c r="G31" s="12" t="str">
        <x:f>IF(F31="Eligible",IF(OR(C31="SIBAU-BEEE",C31="SIBAU-BECSE"),"Meets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1" s="22" t="n">
        <x:f>IFERROR(SUMPRODUCT(Student_Test_Profiles!$F$4:$N$4,Program_Master!$I$3:$Q$3)/SUMPRODUCT(--(Student_Test_Profiles!$F$4:$N$4&lt;&gt;""),Program_Master!$I$3:$Q$3),"")</x:f>
        <x:v>77.06666666666666</x:v>
      </x:c>
      <x:c r="I31" s="22" t="n">
        <x:f>SUMPRODUCT(Student_Test_Profiles!$O$4:$Y$4,Program_Master!$X$3:$AH$3)/100</x:f>
        <x:v>54.8</x:v>
      </x:c>
      <x:c r="J31" s="22" t="n">
        <x:f>SUMPRODUCT(Student_Test_Profiles!$Z$4:$AE$4,Program_Master!$R$3:$W$3)/100</x:f>
        <x:v>74.6</x:v>
      </x:c>
      <x:c r="K31" s="22" t="n">
        <x:f>IF(F31="Eligible",H31*0.5+I31*0.3+J31*0.2,"")</x:f>
        <x:v>69.89333333333333</x:v>
      </x:c>
      <x:c r="L31" s="22" t="n">
        <x:f>IF(F31&lt;&gt;"Eligible","",1+COUNTIFS($F$30:$F$43,"Eligible",$K$30:$K$43,"&gt;"&amp;K31))</x:f>
        <x:v>5</x:v>
      </x:c>
      <x:c r="M31" s="22" t="str">
        <x:f>IF(K31="","",IF(K31&gt;=85,"Excellent Match",IF(K31&gt;=75,"Strong Match",IF(K31&gt;=65,"Good Match",IF(K31&gt;=55,"Moderate Match","Weak Match")))))</x:f>
        <x:v>Good Match</x:v>
      </x:c>
      <x:c r="N31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2">
      <x:c r="A32" s="12" t="str">
        <x:f>Student_Test_Profiles!A4</x:f>
        <x:v>TEST-C</x:v>
      </x:c>
      <x:c r="B32" s="12" t="str">
        <x:f>Student_Test_Profiles!B4</x:f>
        <x:v>Commerce and Finance Student</x:v>
      </x:c>
      <x:c r="C32" s="12" t="str">
        <x:f>Program_Master!A4</x:f>
        <x:v>SIBAU-BSCS</x:v>
      </x:c>
      <x:c r="D32" s="12" t="str">
        <x:f>Program_Master!B4</x:f>
        <x:v>BS Computer Science</x:v>
      </x:c>
      <x:c r="E32" s="12" t="str">
        <x:f>Program_Master!C4</x:f>
        <x:v>Computing</x:v>
      </x:c>
      <x:c r="F32" s="12" t="str">
        <x:f>IF(Student_Test_Profiles!$AF$4&lt;Program_Master!$H$4,"Not Eligible",IF(C32="SIBAU-BEEE",IF(AND(Student_Test_Profiles!$C$4="Pre-Engineering",Student_Test_Profiles!$F$4&gt;=Program_Master!$G$4,Student_Test_Profiles!$G$4&gt;=Program_Master!$G$4),"Eligible","Not Eligible"),IF(C32="SIBAU-BECSE",IF(AND(OR(Student_Test_Profiles!$C$4="Pre-Engineering",Student_Test_Profiles!$C$4="ICS"),Student_Test_Profiles!$F$4&gt;=Program_Master!$G$4,OR(Student_Test_Profiles!$G$4&gt;=Program_Master!$G$4,Student_Test_Profiles!$H$4&gt;=Program_Master!$G$4)),"Eligible","Not Eligible"),"Eligible")))</x:f>
        <x:v>Eligible</x:v>
      </x:c>
      <x:c r="G32" s="12" t="str">
        <x:f>IF(F32="Eligible",IF(OR(C32="SIBAU-BEEE",C32="SIBAU-BECSE"),"Meets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2" s="22" t="n">
        <x:f>IFERROR(SUMPRODUCT(Student_Test_Profiles!$F$4:$N$4,Program_Master!$I$4:$Q$4)/SUMPRODUCT(--(Student_Test_Profiles!$F$4:$N$4&lt;&gt;""),Program_Master!$I$4:$Q$4),"")</x:f>
        <x:v>78.91666666666667</x:v>
      </x:c>
      <x:c r="I32" s="22" t="n">
        <x:f>SUMPRODUCT(Student_Test_Profiles!$O$4:$Y$4,Program_Master!$X$4:$AH$4)/100</x:f>
        <x:v>37.95</x:v>
      </x:c>
      <x:c r="J32" s="22" t="n">
        <x:f>SUMPRODUCT(Student_Test_Profiles!$Z$4:$AE$4,Program_Master!$R$4:$W$4)/100</x:f>
        <x:v>74.25</x:v>
      </x:c>
      <x:c r="K32" s="22" t="n">
        <x:f>IF(F32="Eligible",H32*0.5+I32*0.3+J32*0.2,"")</x:f>
        <x:v>65.69333333333333</x:v>
      </x:c>
      <x:c r="L32" s="22" t="n">
        <x:f>IF(F32&lt;&gt;"Eligible","",1+COUNTIFS($F$30:$F$43,"Eligible",$K$30:$K$43,"&gt;"&amp;K32))</x:f>
        <x:v>7</x:v>
      </x:c>
      <x:c r="M32" s="22" t="str">
        <x:f>IF(K32="","",IF(K32&gt;=85,"Excellent Match",IF(K32&gt;=75,"Strong Match",IF(K32&gt;=65,"Good Match",IF(K32&gt;=55,"Moderate Match","Weak Match")))))</x:f>
        <x:v>Good Match</x:v>
      </x:c>
      <x:c r="N32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3">
      <x:c r="A33" s="12" t="str">
        <x:f>Student_Test_Profiles!A4</x:f>
        <x:v>TEST-C</x:v>
      </x:c>
      <x:c r="B33" s="12" t="str">
        <x:f>Student_Test_Profiles!B4</x:f>
        <x:v>Commerce and Finance Student</x:v>
      </x:c>
      <x:c r="C33" s="12" t="str">
        <x:f>Program_Master!A5</x:f>
        <x:v>SIBAU-BSSE</x:v>
      </x:c>
      <x:c r="D33" s="12" t="str">
        <x:f>Program_Master!B5</x:f>
        <x:v>BS Software Engineering</x:v>
      </x:c>
      <x:c r="E33" s="12" t="str">
        <x:f>Program_Master!C5</x:f>
        <x:v>Computing</x:v>
      </x:c>
      <x:c r="F33" s="12" t="str">
        <x:f>IF(Student_Test_Profiles!$AF$4&lt;Program_Master!$H$5,"Not Eligible",IF(C33="SIBAU-BEEE",IF(AND(Student_Test_Profiles!$C$4="Pre-Engineering",Student_Test_Profiles!$F$4&gt;=Program_Master!$G$5,Student_Test_Profiles!$G$4&gt;=Program_Master!$G$5),"Eligible","Not Eligible"),IF(C33="SIBAU-BECSE",IF(AND(OR(Student_Test_Profiles!$C$4="Pre-Engineering",Student_Test_Profiles!$C$4="ICS"),Student_Test_Profiles!$F$4&gt;=Program_Master!$G$5,OR(Student_Test_Profiles!$G$4&gt;=Program_Master!$G$5,Student_Test_Profiles!$H$4&gt;=Program_Master!$G$5)),"Eligible","Not Eligible"),"Eligible")))</x:f>
        <x:v>Eligible</x:v>
      </x:c>
      <x:c r="G33" s="12" t="str">
        <x:f>IF(F33="Eligible",IF(OR(C33="SIBAU-BEEE",C33="SIBAU-BECSE"),"Meets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3" s="22" t="n">
        <x:f>IFERROR(SUMPRODUCT(Student_Test_Profiles!$F$4:$N$4,Program_Master!$I$5:$Q$5)/SUMPRODUCT(--(Student_Test_Profiles!$F$4:$N$4&lt;&gt;""),Program_Master!$I$5:$Q$5),"")</x:f>
        <x:v>78</x:v>
      </x:c>
      <x:c r="I33" s="22" t="n">
        <x:f>SUMPRODUCT(Student_Test_Profiles!$O$4:$Y$4,Program_Master!$X$5:$AH$5)/100</x:f>
        <x:v>37.45</x:v>
      </x:c>
      <x:c r="J33" s="22" t="n">
        <x:f>SUMPRODUCT(Student_Test_Profiles!$Z$4:$AE$4,Program_Master!$R$5:$W$5)/100</x:f>
        <x:v>73.55</x:v>
      </x:c>
      <x:c r="K33" s="22" t="n">
        <x:f>IF(F33="Eligible",H33*0.5+I33*0.3+J33*0.2,"")</x:f>
        <x:v>64.945</x:v>
      </x:c>
      <x:c r="L33" s="22" t="n">
        <x:f>IF(F33&lt;&gt;"Eligible","",1+COUNTIFS($F$30:$F$43,"Eligible",$K$30:$K$43,"&gt;"&amp;K33))</x:f>
        <x:v>9</x:v>
      </x:c>
      <x:c r="M33" s="22" t="str">
        <x:f>IF(K33="","",IF(K33&gt;=85,"Excellent Match",IF(K33&gt;=75,"Strong Match",IF(K33&gt;=65,"Good Match",IF(K33&gt;=55,"Moderate Match","Weak Match")))))</x:f>
        <x:v>Moderate Match</x:v>
      </x:c>
      <x:c r="N33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4">
      <x:c r="A34" s="12" t="str">
        <x:f>Student_Test_Profiles!A4</x:f>
        <x:v>TEST-C</x:v>
      </x:c>
      <x:c r="B34" s="12" t="str">
        <x:f>Student_Test_Profiles!B4</x:f>
        <x:v>Commerce and Finance Student</x:v>
      </x:c>
      <x:c r="C34" s="12" t="str">
        <x:f>Program_Master!A6</x:f>
        <x:v>SIBAU-BSAI</x:v>
      </x:c>
      <x:c r="D34" s="12" t="str">
        <x:f>Program_Master!B6</x:f>
        <x:v>BS Artificial Intelligence</x:v>
      </x:c>
      <x:c r="E34" s="12" t="str">
        <x:f>Program_Master!C6</x:f>
        <x:v>Computing &amp; AI</x:v>
      </x:c>
      <x:c r="F34" s="12" t="str">
        <x:f>IF(Student_Test_Profiles!$AF$4&lt;Program_Master!$H$6,"Not Eligible",IF(C34="SIBAU-BEEE",IF(AND(Student_Test_Profiles!$C$4="Pre-Engineering",Student_Test_Profiles!$F$4&gt;=Program_Master!$G$6,Student_Test_Profiles!$G$4&gt;=Program_Master!$G$6),"Eligible","Not Eligible"),IF(C34="SIBAU-BECSE",IF(AND(OR(Student_Test_Profiles!$C$4="Pre-Engineering",Student_Test_Profiles!$C$4="ICS"),Student_Test_Profiles!$F$4&gt;=Program_Master!$G$6,OR(Student_Test_Profiles!$G$4&gt;=Program_Master!$G$6,Student_Test_Profiles!$H$4&gt;=Program_Master!$G$6)),"Eligible","Not Eligible"),"Eligible")))</x:f>
        <x:v>Eligible</x:v>
      </x:c>
      <x:c r="G34" s="12" t="str">
        <x:f>IF(F34="Eligible",IF(OR(C34="SIBAU-BEEE",C34="SIBAU-BECSE"),"Meets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4" s="22" t="n">
        <x:f>IFERROR(SUMPRODUCT(Student_Test_Profiles!$F$4:$N$4,Program_Master!$I$6:$Q$6)/SUMPRODUCT(--(Student_Test_Profiles!$F$4:$N$4&lt;&gt;""),Program_Master!$I$6:$Q$6),"")</x:f>
        <x:v>79.14285714285714</x:v>
      </x:c>
      <x:c r="I34" s="22" t="n">
        <x:f>SUMPRODUCT(Student_Test_Profiles!$O$4:$Y$4,Program_Master!$X$6:$AH$6)/100</x:f>
        <x:v>41.3</x:v>
      </x:c>
      <x:c r="J34" s="22" t="n">
        <x:f>SUMPRODUCT(Student_Test_Profiles!$Z$4:$AE$4,Program_Master!$R$6:$W$6)/100</x:f>
        <x:v>74.8</x:v>
      </x:c>
      <x:c r="K34" s="22" t="n">
        <x:f>IF(F34="Eligible",H34*0.5+I34*0.3+J34*0.2,"")</x:f>
        <x:v>66.92142857142858</x:v>
      </x:c>
      <x:c r="L34" s="22" t="n">
        <x:f>IF(F34&lt;&gt;"Eligible","",1+COUNTIFS($F$30:$F$43,"Eligible",$K$30:$K$43,"&gt;"&amp;K34))</x:f>
        <x:v>6</x:v>
      </x:c>
      <x:c r="M34" s="22" t="str">
        <x:f>IF(K34="","",IF(K34&gt;=85,"Excellent Match",IF(K34&gt;=75,"Strong Match",IF(K34&gt;=65,"Good Match",IF(K34&gt;=55,"Moderate Match","Weak Match")))))</x:f>
        <x:v>Good Match</x:v>
      </x:c>
      <x:c r="N34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5">
      <x:c r="A35" s="12" t="str">
        <x:f>Student_Test_Profiles!A4</x:f>
        <x:v>TEST-C</x:v>
      </x:c>
      <x:c r="B35" s="12" t="str">
        <x:f>Student_Test_Profiles!B4</x:f>
        <x:v>Commerce and Finance Student</x:v>
      </x:c>
      <x:c r="C35" s="12" t="str">
        <x:f>Program_Master!A7</x:f>
        <x:v>SIBAU-BSAF</x:v>
      </x:c>
      <x:c r="D35" s="12" t="str">
        <x:f>Program_Master!B7</x:f>
        <x:v>BS Accounting &amp; Finance</x:v>
      </x:c>
      <x:c r="E35" s="12" t="str">
        <x:f>Program_Master!C7</x:f>
        <x:v>Business &amp; Finance</x:v>
      </x:c>
      <x:c r="F35" s="12" t="str">
        <x:f>IF(Student_Test_Profiles!$AF$4&lt;Program_Master!$H$7,"Not Eligible",IF(C35="SIBAU-BEEE",IF(AND(Student_Test_Profiles!$C$4="Pre-Engineering",Student_Test_Profiles!$F$4&gt;=Program_Master!$G$7,Student_Test_Profiles!$G$4&gt;=Program_Master!$G$7),"Eligible","Not Eligible"),IF(C35="SIBAU-BECSE",IF(AND(OR(Student_Test_Profiles!$C$4="Pre-Engineering",Student_Test_Profiles!$C$4="ICS"),Student_Test_Profiles!$F$4&gt;=Program_Master!$G$7,OR(Student_Test_Profiles!$G$4&gt;=Program_Master!$G$7,Student_Test_Profiles!$H$4&gt;=Program_Master!$G$7)),"Eligible","Not Eligible"),"Eligible")))</x:f>
        <x:v>Eligible</x:v>
      </x:c>
      <x:c r="G35" s="12" t="str">
        <x:f>IF(F35="Eligible",IF(OR(C35="SIBAU-BEEE",C35="SIBAU-BECSE"),"Meets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5" s="22" t="n">
        <x:f>IFERROR(SUMPRODUCT(Student_Test_Profiles!$F$4:$N$4,Program_Master!$I$7:$Q$7)/SUMPRODUCT(--(Student_Test_Profiles!$F$4:$N$4&lt;&gt;""),Program_Master!$I$7:$Q$7),"")</x:f>
        <x:v>82.2</x:v>
      </x:c>
      <x:c r="I35" s="22" t="n">
        <x:f>SUMPRODUCT(Student_Test_Profiles!$O$4:$Y$4,Program_Master!$X$7:$AH$7)/100</x:f>
        <x:v>81.65</x:v>
      </x:c>
      <x:c r="J35" s="22" t="n">
        <x:f>SUMPRODUCT(Student_Test_Profiles!$Z$4:$AE$4,Program_Master!$R$7:$W$7)/100</x:f>
        <x:v>78.7</x:v>
      </x:c>
      <x:c r="K35" s="22" t="n">
        <x:f>IF(F35="Eligible",H35*0.5+I35*0.3+J35*0.2,"")</x:f>
        <x:v>81.33500000000001</x:v>
      </x:c>
      <x:c r="L35" s="22" t="n">
        <x:f>IF(F35&lt;&gt;"Eligible","",1+COUNTIFS($F$30:$F$43,"Eligible",$K$30:$K$43,"&gt;"&amp;K35))</x:f>
        <x:v>1</x:v>
      </x:c>
      <x:c r="M35" s="22" t="str">
        <x:f>IF(K35="","",IF(K35&gt;=85,"Excellent Match",IF(K35&gt;=75,"Strong Match",IF(K35&gt;=65,"Good Match",IF(K35&gt;=55,"Moderate Match","Weak Match")))))</x:f>
        <x:v>Strong Match</x:v>
      </x:c>
      <x:c r="N35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6">
      <x:c r="A36" s="12" t="str">
        <x:f>Student_Test_Profiles!A4</x:f>
        <x:v>TEST-C</x:v>
      </x:c>
      <x:c r="B36" s="12" t="str">
        <x:f>Student_Test_Profiles!B4</x:f>
        <x:v>Commerce and Finance Student</x:v>
      </x:c>
      <x:c r="C36" s="12" t="str">
        <x:f>Program_Master!A8</x:f>
        <x:v>SIBAU-BSECO</x:v>
      </x:c>
      <x:c r="D36" s="12" t="str">
        <x:f>Program_Master!B8</x:f>
        <x:v>BS Economics</x:v>
      </x:c>
      <x:c r="E36" s="12" t="str">
        <x:f>Program_Master!C8</x:f>
        <x:v>Economics &amp; Social Science</x:v>
      </x:c>
      <x:c r="F36" s="12" t="str">
        <x:f>IF(Student_Test_Profiles!$AF$4&lt;Program_Master!$H$8,"Not Eligible",IF(C36="SIBAU-BEEE",IF(AND(Student_Test_Profiles!$C$4="Pre-Engineering",Student_Test_Profiles!$F$4&gt;=Program_Master!$G$8,Student_Test_Profiles!$G$4&gt;=Program_Master!$G$8),"Eligible","Not Eligible"),IF(C36="SIBAU-BECSE",IF(AND(OR(Student_Test_Profiles!$C$4="Pre-Engineering",Student_Test_Profiles!$C$4="ICS"),Student_Test_Profiles!$F$4&gt;=Program_Master!$G$8,OR(Student_Test_Profiles!$G$4&gt;=Program_Master!$G$8,Student_Test_Profiles!$H$4&gt;=Program_Master!$G$8)),"Eligible","Not Eligible"),"Eligible")))</x:f>
        <x:v>Eligible</x:v>
      </x:c>
      <x:c r="G36" s="12" t="str">
        <x:f>IF(F36="Eligible",IF(OR(C36="SIBAU-BEEE",C36="SIBAU-BECSE"),"Meets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6" s="22" t="n">
        <x:f>IFERROR(SUMPRODUCT(Student_Test_Profiles!$F$4:$N$4,Program_Master!$I$8:$Q$8)/SUMPRODUCT(--(Student_Test_Profiles!$F$4:$N$4&lt;&gt;""),Program_Master!$I$8:$Q$8),"")</x:f>
        <x:v>78.75</x:v>
      </x:c>
      <x:c r="I36" s="22" t="n">
        <x:f>SUMPRODUCT(Student_Test_Profiles!$O$4:$Y$4,Program_Master!$X$8:$AH$8)/100</x:f>
        <x:v>74.05</x:v>
      </x:c>
      <x:c r="J36" s="22" t="n">
        <x:f>SUMPRODUCT(Student_Test_Profiles!$Z$4:$AE$4,Program_Master!$R$8:$W$8)/100</x:f>
        <x:v>77.65</x:v>
      </x:c>
      <x:c r="K36" s="22" t="n">
        <x:f>IF(F36="Eligible",H36*0.5+I36*0.3+J36*0.2,"")</x:f>
        <x:v>77.12</x:v>
      </x:c>
      <x:c r="L36" s="22" t="n">
        <x:f>IF(F36&lt;&gt;"Eligible","",1+COUNTIFS($F$30:$F$43,"Eligible",$K$30:$K$43,"&gt;"&amp;K36))</x:f>
        <x:v>3</x:v>
      </x:c>
      <x:c r="M36" s="22" t="str">
        <x:f>IF(K36="","",IF(K36&gt;=85,"Excellent Match",IF(K36&gt;=75,"Strong Match",IF(K36&gt;=65,"Good Match",IF(K36&gt;=55,"Moderate Match","Weak Match")))))</x:f>
        <x:v>Strong Match</x:v>
      </x:c>
      <x:c r="N36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7">
      <x:c r="A37" s="12" t="str">
        <x:f>Student_Test_Profiles!A4</x:f>
        <x:v>TEST-C</x:v>
      </x:c>
      <x:c r="B37" s="12" t="str">
        <x:f>Student_Test_Profiles!B4</x:f>
        <x:v>Commerce and Finance Student</x:v>
      </x:c>
      <x:c r="C37" s="12" t="str">
        <x:f>Program_Master!A9</x:f>
        <x:v>SIBAU-BSMATH</x:v>
      </x:c>
      <x:c r="D37" s="12" t="str">
        <x:f>Program_Master!B9</x:f>
        <x:v>BS Mathematics</x:v>
      </x:c>
      <x:c r="E37" s="12" t="str">
        <x:f>Program_Master!C9</x:f>
        <x:v>Mathematics &amp; Sciences</x:v>
      </x:c>
      <x:c r="F37" s="12" t="str">
        <x:f>IF(Student_Test_Profiles!$AF$4&lt;Program_Master!$H$9,"Not Eligible",IF(C37="SIBAU-BEEE",IF(AND(Student_Test_Profiles!$C$4="Pre-Engineering",Student_Test_Profiles!$F$4&gt;=Program_Master!$G$9,Student_Test_Profiles!$G$4&gt;=Program_Master!$G$9),"Eligible","Not Eligible"),IF(C37="SIBAU-BECSE",IF(AND(OR(Student_Test_Profiles!$C$4="Pre-Engineering",Student_Test_Profiles!$C$4="ICS"),Student_Test_Profiles!$F$4&gt;=Program_Master!$G$9,OR(Student_Test_Profiles!$G$4&gt;=Program_Master!$G$9,Student_Test_Profiles!$H$4&gt;=Program_Master!$G$9)),"Eligible","Not Eligible"),"Eligible")))</x:f>
        <x:v>Eligible</x:v>
      </x:c>
      <x:c r="G37" s="12" t="str">
        <x:f>IF(F37="Eligible",IF(OR(C37="SIBAU-BEEE",C37="SIBAU-BECSE"),"Meets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7" s="22" t="n">
        <x:f>IFERROR(SUMPRODUCT(Student_Test_Profiles!$F$4:$N$4,Program_Master!$I$9:$Q$9)/SUMPRODUCT(--(Student_Test_Profiles!$F$4:$N$4&lt;&gt;""),Program_Master!$I$9:$Q$9),"")</x:f>
        <x:v>80</x:v>
      </x:c>
      <x:c r="I37" s="22" t="n">
        <x:f>SUMPRODUCT(Student_Test_Profiles!$O$4:$Y$4,Program_Master!$X$9:$AH$9)/100</x:f>
        <x:v>60.95</x:v>
      </x:c>
      <x:c r="J37" s="22" t="n">
        <x:f>SUMPRODUCT(Student_Test_Profiles!$Z$4:$AE$4,Program_Master!$R$9:$W$9)/100</x:f>
        <x:v>75.05</x:v>
      </x:c>
      <x:c r="K37" s="22" t="n">
        <x:f>IF(F37="Eligible",H37*0.5+I37*0.3+J37*0.2,"")</x:f>
        <x:v>73.295</x:v>
      </x:c>
      <x:c r="L37" s="22" t="n">
        <x:f>IF(F37&lt;&gt;"Eligible","",1+COUNTIFS($F$30:$F$43,"Eligible",$K$30:$K$43,"&gt;"&amp;K37))</x:f>
        <x:v>4</x:v>
      </x:c>
      <x:c r="M37" s="22" t="str">
        <x:f>IF(K37="","",IF(K37&gt;=85,"Excellent Match",IF(K37&gt;=75,"Strong Match",IF(K37&gt;=65,"Good Match",IF(K37&gt;=55,"Moderate Match","Weak Match")))))</x:f>
        <x:v>Good Match</x:v>
      </x:c>
      <x:c r="N37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8">
      <x:c r="A38" s="12" t="str">
        <x:f>Student_Test_Profiles!A4</x:f>
        <x:v>TEST-C</x:v>
      </x:c>
      <x:c r="B38" s="12" t="str">
        <x:f>Student_Test_Profiles!B4</x:f>
        <x:v>Commerce and Finance Student</x:v>
      </x:c>
      <x:c r="C38" s="12" t="str">
        <x:f>Program_Master!A10</x:f>
        <x:v>SIBAU-BSMC</x:v>
      </x:c>
      <x:c r="D38" s="12" t="str">
        <x:f>Program_Master!B10</x:f>
        <x:v>BS Media &amp; Communication</x:v>
      </x:c>
      <x:c r="E38" s="12" t="str">
        <x:f>Program_Master!C10</x:f>
        <x:v>Media &amp; Communication</x:v>
      </x:c>
      <x:c r="F38" s="12" t="str">
        <x:f>IF(Student_Test_Profiles!$AF$4&lt;Program_Master!$H$10,"Not Eligible",IF(C38="SIBAU-BEEE",IF(AND(Student_Test_Profiles!$C$4="Pre-Engineering",Student_Test_Profiles!$F$4&gt;=Program_Master!$G$10,Student_Test_Profiles!$G$4&gt;=Program_Master!$G$10),"Eligible","Not Eligible"),IF(C38="SIBAU-BECSE",IF(AND(OR(Student_Test_Profiles!$C$4="Pre-Engineering",Student_Test_Profiles!$C$4="ICS"),Student_Test_Profiles!$F$4&gt;=Program_Master!$G$10,OR(Student_Test_Profiles!$G$4&gt;=Program_Master!$G$10,Student_Test_Profiles!$H$4&gt;=Program_Master!$G$10)),"Eligible","Not Eligible"),"Eligible")))</x:f>
        <x:v>Eligible</x:v>
      </x:c>
      <x:c r="G38" s="12" t="str">
        <x:f>IF(F38="Eligible",IF(OR(C38="SIBAU-BEEE",C38="SIBAU-BECSE"),"Meets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8" s="22" t="n">
        <x:f>IFERROR(SUMPRODUCT(Student_Test_Profiles!$F$4:$N$4,Program_Master!$I$10:$Q$10)/SUMPRODUCT(--(Student_Test_Profiles!$F$4:$N$4&lt;&gt;""),Program_Master!$I$10:$Q$10),"")</x:f>
        <x:v>74.6842105263158</x:v>
      </x:c>
      <x:c r="I38" s="22" t="n">
        <x:f>SUMPRODUCT(Student_Test_Profiles!$O$4:$Y$4,Program_Master!$X$10:$AH$10)/100</x:f>
        <x:v>39.35</x:v>
      </x:c>
      <x:c r="J38" s="22" t="n">
        <x:f>SUMPRODUCT(Student_Test_Profiles!$Z$4:$AE$4,Program_Master!$R$10:$W$10)/100</x:f>
        <x:v>64.55</x:v>
      </x:c>
      <x:c r="K38" s="22" t="n">
        <x:f>IF(F38="Eligible",H38*0.5+I38*0.3+J38*0.2,"")</x:f>
        <x:v>62.057105263157894</x:v>
      </x:c>
      <x:c r="L38" s="22" t="n">
        <x:f>IF(F38&lt;&gt;"Eligible","",1+COUNTIFS($F$30:$F$43,"Eligible",$K$30:$K$43,"&gt;"&amp;K38))</x:f>
        <x:v>10</x:v>
      </x:c>
      <x:c r="M38" s="22" t="str">
        <x:f>IF(K38="","",IF(K38&gt;=85,"Excellent Match",IF(K38&gt;=75,"Strong Match",IF(K38&gt;=65,"Good Match",IF(K38&gt;=55,"Moderate Match","Weak Match")))))</x:f>
        <x:v>Moderate Match</x:v>
      </x:c>
      <x:c r="N38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39">
      <x:c r="A39" s="12" t="str">
        <x:f>Student_Test_Profiles!A4</x:f>
        <x:v>TEST-C</x:v>
      </x:c>
      <x:c r="B39" s="12" t="str">
        <x:f>Student_Test_Profiles!B4</x:f>
        <x:v>Commerce and Finance Student</x:v>
      </x:c>
      <x:c r="C39" s="12" t="str">
        <x:f>Program_Master!A11</x:f>
        <x:v>SIBAU-BSPESS</x:v>
      </x:c>
      <x:c r="D39" s="12" t="str">
        <x:f>Program_Master!B11</x:f>
        <x:v>BS Physical Education &amp; Sports Sciences</x:v>
      </x:c>
      <x:c r="E39" s="12" t="str">
        <x:f>Program_Master!C11</x:f>
        <x:v>Sports &amp; Health</x:v>
      </x:c>
      <x:c r="F39" s="12" t="str">
        <x:f>IF(Student_Test_Profiles!$AF$4&lt;Program_Master!$H$11,"Not Eligible",IF(C39="SIBAU-BEEE",IF(AND(Student_Test_Profiles!$C$4="Pre-Engineering",Student_Test_Profiles!$F$4&gt;=Program_Master!$G$11,Student_Test_Profiles!$G$4&gt;=Program_Master!$G$11),"Eligible","Not Eligible"),IF(C39="SIBAU-BECSE",IF(AND(OR(Student_Test_Profiles!$C$4="Pre-Engineering",Student_Test_Profiles!$C$4="ICS"),Student_Test_Profiles!$F$4&gt;=Program_Master!$G$11,OR(Student_Test_Profiles!$G$4&gt;=Program_Master!$G$11,Student_Test_Profiles!$H$4&gt;=Program_Master!$G$11)),"Eligible","Not Eligible"),"Eligible")))</x:f>
        <x:v>Eligible</x:v>
      </x:c>
      <x:c r="G39" s="12" t="str">
        <x:f>IF(F39="Eligible",IF(OR(C39="SIBAU-BEEE",C39="SIBAU-BECSE"),"Meets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39" s="22" t="n">
        <x:f>IFERROR(SUMPRODUCT(Student_Test_Profiles!$F$4:$N$4,Program_Master!$I$11:$Q$11)/SUMPRODUCT(--(Student_Test_Profiles!$F$4:$N$4&lt;&gt;""),Program_Master!$I$11:$Q$11),"")</x:f>
        <x:v>74.71428571428571</x:v>
      </x:c>
      <x:c r="I39" s="22" t="n">
        <x:f>SUMPRODUCT(Student_Test_Profiles!$O$4:$Y$4,Program_Master!$X$11:$AH$11)/100</x:f>
        <x:v>31.6</x:v>
      </x:c>
      <x:c r="J39" s="22" t="n">
        <x:f>SUMPRODUCT(Student_Test_Profiles!$Z$4:$AE$4,Program_Master!$R$11:$W$11)/100</x:f>
        <x:v>73</x:v>
      </x:c>
      <x:c r="K39" s="22" t="n">
        <x:f>IF(F39="Eligible",H39*0.5+I39*0.3+J39*0.2,"")</x:f>
        <x:v>61.43714285714285</x:v>
      </x:c>
      <x:c r="L39" s="22" t="n">
        <x:f>IF(F39&lt;&gt;"Eligible","",1+COUNTIFS($F$30:$F$43,"Eligible",$K$30:$K$43,"&gt;"&amp;K39))</x:f>
        <x:v>11</x:v>
      </x:c>
      <x:c r="M39" s="22" t="str">
        <x:f>IF(K39="","",IF(K39&gt;=85,"Excellent Match",IF(K39&gt;=75,"Strong Match",IF(K39&gt;=65,"Good Match",IF(K39&gt;=55,"Moderate Match","Weak Match")))))</x:f>
        <x:v>Moderate Match</x:v>
      </x:c>
      <x:c r="N39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40">
      <x:c r="A40" s="12" t="str">
        <x:f>Student_Test_Profiles!A4</x:f>
        <x:v>TEST-C</x:v>
      </x:c>
      <x:c r="B40" s="12" t="str">
        <x:f>Student_Test_Profiles!B4</x:f>
        <x:v>Commerce and Finance Student</x:v>
      </x:c>
      <x:c r="C40" s="12" t="str">
        <x:f>Program_Master!A12</x:f>
        <x:v>SIBAU-ADPESS</x:v>
      </x:c>
      <x:c r="D40" s="12" t="str">
        <x:f>Program_Master!B12</x:f>
        <x:v>Associate Degree in Physical Education &amp; Sports Sciences</x:v>
      </x:c>
      <x:c r="E40" s="12" t="str">
        <x:f>Program_Master!C12</x:f>
        <x:v>Sports &amp; Health</x:v>
      </x:c>
      <x:c r="F40" s="12" t="str">
        <x:f>IF(Student_Test_Profiles!$AF$4&lt;Program_Master!$H$12,"Not Eligible",IF(C40="SIBAU-BEEE",IF(AND(Student_Test_Profiles!$C$4="Pre-Engineering",Student_Test_Profiles!$F$4&gt;=Program_Master!$G$12,Student_Test_Profiles!$G$4&gt;=Program_Master!$G$12),"Eligible","Not Eligible"),IF(C40="SIBAU-BECSE",IF(AND(OR(Student_Test_Profiles!$C$4="Pre-Engineering",Student_Test_Profiles!$C$4="ICS"),Student_Test_Profiles!$F$4&gt;=Program_Master!$G$12,OR(Student_Test_Profiles!$G$4&gt;=Program_Master!$G$12,Student_Test_Profiles!$H$4&gt;=Program_Master!$G$12)),"Eligible","Not Eligible"),"Eligible")))</x:f>
        <x:v>Eligible</x:v>
      </x:c>
      <x:c r="G40" s="12" t="str">
        <x:f>IF(F40="Eligible",IF(OR(C40="SIBAU-BEEE",C40="SIBAU-BECSE"),"Meets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0" s="22" t="n">
        <x:f>IFERROR(SUMPRODUCT(Student_Test_Profiles!$F$4:$N$4,Program_Master!$I$12:$Q$12)/SUMPRODUCT(--(Student_Test_Profiles!$F$4:$N$4&lt;&gt;""),Program_Master!$I$12:$Q$12),"")</x:f>
        <x:v>74.71428571428571</x:v>
      </x:c>
      <x:c r="I40" s="22" t="n">
        <x:f>SUMPRODUCT(Student_Test_Profiles!$O$4:$Y$4,Program_Master!$X$12:$AH$12)/100</x:f>
        <x:v>31.6</x:v>
      </x:c>
      <x:c r="J40" s="22" t="n">
        <x:f>SUMPRODUCT(Student_Test_Profiles!$Z$4:$AE$4,Program_Master!$R$12:$W$12)/100</x:f>
        <x:v>73</x:v>
      </x:c>
      <x:c r="K40" s="22" t="n">
        <x:f>IF(F40="Eligible",H40*0.5+I40*0.3+J40*0.2,"")</x:f>
        <x:v>61.43714285714285</x:v>
      </x:c>
      <x:c r="L40" s="22" t="n">
        <x:f>IF(F40&lt;&gt;"Eligible","",1+COUNTIFS($F$30:$F$43,"Eligible",$K$30:$K$43,"&gt;"&amp;K40))</x:f>
        <x:v>11</x:v>
      </x:c>
      <x:c r="M40" s="22" t="str">
        <x:f>IF(K40="","",IF(K40&gt;=85,"Excellent Match",IF(K40&gt;=75,"Strong Match",IF(K40&gt;=65,"Good Match",IF(K40&gt;=55,"Moderate Match","Weak Match")))))</x:f>
        <x:v>Moderate Match</x:v>
      </x:c>
      <x:c r="N40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41">
      <x:c r="A41" s="12" t="str">
        <x:f>Student_Test_Profiles!A4</x:f>
        <x:v>TEST-C</x:v>
      </x:c>
      <x:c r="B41" s="12" t="str">
        <x:f>Student_Test_Profiles!B4</x:f>
        <x:v>Commerce and Finance Student</x:v>
      </x:c>
      <x:c r="C41" s="12" t="str">
        <x:f>Program_Master!A13</x:f>
        <x:v>SIBAU-BEEE</x:v>
      </x:c>
      <x:c r="D41" s="12" t="str">
        <x:f>Program_Master!B13</x:f>
        <x:v>BE Electrical Engineering</x:v>
      </x:c>
      <x:c r="E41" s="12" t="str">
        <x:f>Program_Master!C13</x:f>
        <x:v>Engineering</x:v>
      </x:c>
      <x:c r="F41" s="12" t="str">
        <x:f>IF(Student_Test_Profiles!$AF$4&lt;Program_Master!$H$13,"Not Eligible",IF(C41="SIBAU-BEEE",IF(AND(Student_Test_Profiles!$C$4="Pre-Engineering",Student_Test_Profiles!$F$4&gt;=Program_Master!$G$13,Student_Test_Profiles!$G$4&gt;=Program_Master!$G$13),"Eligible","Not Eligible"),IF(C41="SIBAU-BECSE",IF(AND(OR(Student_Test_Profiles!$C$4="Pre-Engineering",Student_Test_Profiles!$C$4="ICS"),Student_Test_Profiles!$F$4&gt;=Program_Master!$G$13,OR(Student_Test_Profiles!$G$4&gt;=Program_Master!$G$13,Student_Test_Profiles!$H$4&gt;=Program_Master!$G$13)),"Eligible","Not Eligible"),"Eligible")))</x:f>
        <x:v>Not Eligible</x:v>
      </x:c>
      <x:c r="G41" s="12" t="str">
        <x:f>IF(F41="Eligible",IF(OR(C41="SIBAU-BEEE",C41="SIBAU-BECSE"),"Meets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41" s="22" t="n">
        <x:f>IFERROR(SUMPRODUCT(Student_Test_Profiles!$F$4:$N$4,Program_Master!$I$13:$Q$13)/SUMPRODUCT(--(Student_Test_Profiles!$F$4:$N$4&lt;&gt;""),Program_Master!$I$13:$Q$13),"")</x:f>
        <x:v>80.44444444444444</x:v>
      </x:c>
      <x:c r="I41" s="22" t="n">
        <x:f>SUMPRODUCT(Student_Test_Profiles!$O$4:$Y$4,Program_Master!$X$13:$AH$13)/100</x:f>
        <x:v>34.1</x:v>
      </x:c>
      <x:c r="J41" s="22" t="n">
        <x:f>SUMPRODUCT(Student_Test_Profiles!$Z$4:$AE$4,Program_Master!$R$13:$W$13)/100</x:f>
        <x:v>68.25</x:v>
      </x:c>
      <x:c r="K41" s="22" t="str">
        <x:f>IF(F41="Eligible",H41*0.5+I41*0.3+J41*0.2,"")</x:f>
      </x:c>
      <x:c r="L41" s="22" t="str">
        <x:f>IF(F41&lt;&gt;"Eligible","",1+COUNTIFS($F$30:$F$43,"Eligible",$K$30:$K$43,"&gt;"&amp;K41))</x:f>
      </x:c>
      <x:c r="M41" s="22" t="str">
        <x:f>IF(K41="","",IF(K41&gt;=85,"Excellent Match",IF(K41&gt;=75,"Strong Match",IF(K41&gt;=65,"Good Match",IF(K41&gt;=55,"Moderate Match","Weak Match")))))</x:f>
      </x:c>
      <x:c r="N41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42">
      <x:c r="A42" s="12" t="str">
        <x:f>Student_Test_Profiles!A4</x:f>
        <x:v>TEST-C</x:v>
      </x:c>
      <x:c r="B42" s="12" t="str">
        <x:f>Student_Test_Profiles!B4</x:f>
        <x:v>Commerce and Finance Student</x:v>
      </x:c>
      <x:c r="C42" s="12" t="str">
        <x:f>Program_Master!A14</x:f>
        <x:v>SIBAU-BECSE</x:v>
      </x:c>
      <x:c r="D42" s="12" t="str">
        <x:f>Program_Master!B14</x:f>
        <x:v>BE Computer Systems Engineering</x:v>
      </x:c>
      <x:c r="E42" s="12" t="str">
        <x:f>Program_Master!C14</x:f>
        <x:v>Engineering &amp; Computing</x:v>
      </x:c>
      <x:c r="F42" s="12" t="str">
        <x:f>IF(Student_Test_Profiles!$AF$4&lt;Program_Master!$H$14,"Not Eligible",IF(C42="SIBAU-BEEE",IF(AND(Student_Test_Profiles!$C$4="Pre-Engineering",Student_Test_Profiles!$F$4&gt;=Program_Master!$G$14,Student_Test_Profiles!$G$4&gt;=Program_Master!$G$14),"Eligible","Not Eligible"),IF(C42="SIBAU-BECSE",IF(AND(OR(Student_Test_Profiles!$C$4="Pre-Engineering",Student_Test_Profiles!$C$4="ICS"),Student_Test_Profiles!$F$4&gt;=Program_Master!$G$14,OR(Student_Test_Profiles!$G$4&gt;=Program_Master!$G$14,Student_Test_Profiles!$H$4&gt;=Program_Master!$G$14)),"Eligible","Not Eligible"),"Eligible")))</x:f>
        <x:v>Not Eligible</x:v>
      </x:c>
      <x:c r="G42" s="12" t="str">
        <x:f>IF(F42="Eligible",IF(OR(C42="SIBAU-BEEE",C42="SIBAU-BECSE"),"Meets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42" s="22" t="n">
        <x:f>IFERROR(SUMPRODUCT(Student_Test_Profiles!$F$4:$N$4,Program_Master!$I$14:$Q$14)/SUMPRODUCT(--(Student_Test_Profiles!$F$4:$N$4&lt;&gt;""),Program_Master!$I$14:$Q$14),"")</x:f>
        <x:v>79.27272727272727</x:v>
      </x:c>
      <x:c r="I42" s="22" t="n">
        <x:f>SUMPRODUCT(Student_Test_Profiles!$O$4:$Y$4,Program_Master!$X$14:$AH$14)/100</x:f>
        <x:v>34.6</x:v>
      </x:c>
      <x:c r="J42" s="22" t="n">
        <x:f>SUMPRODUCT(Student_Test_Profiles!$Z$4:$AE$4,Program_Master!$R$14:$W$14)/100</x:f>
        <x:v>69.35</x:v>
      </x:c>
      <x:c r="K42" s="22" t="str">
        <x:f>IF(F42="Eligible",H42*0.5+I42*0.3+J42*0.2,"")</x:f>
      </x:c>
      <x:c r="L42" s="22" t="str">
        <x:f>IF(F42&lt;&gt;"Eligible","",1+COUNTIFS($F$30:$F$43,"Eligible",$K$30:$K$43,"&gt;"&amp;K42))</x:f>
      </x:c>
      <x:c r="M42" s="22" t="str">
        <x:f>IF(K42="","",IF(K42&gt;=85,"Excellent Match",IF(K42&gt;=75,"Strong Match",IF(K42&gt;=65,"Good Match",IF(K42&gt;=55,"Moderate Match","Weak Match")))))</x:f>
      </x:c>
      <x:c r="N42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43">
      <x:c r="A43" s="12" t="str">
        <x:f>Student_Test_Profiles!A4</x:f>
        <x:v>TEST-C</x:v>
      </x:c>
      <x:c r="B43" s="12" t="str">
        <x:f>Student_Test_Profiles!B4</x:f>
        <x:v>Commerce and Finance Student</x:v>
      </x:c>
      <x:c r="C43" s="12" t="str">
        <x:f>Program_Master!A15</x:f>
        <x:v>SIBAU-BEDH</x:v>
      </x:c>
      <x:c r="D43" s="12" t="str">
        <x:f>Program_Master!B15</x:f>
        <x:v>B.Ed (Hons)</x:v>
      </x:c>
      <x:c r="E43" s="12" t="str">
        <x:f>Program_Master!C15</x:f>
        <x:v>Education</x:v>
      </x:c>
      <x:c r="F43" s="12" t="str">
        <x:f>IF(Student_Test_Profiles!$AF$4&lt;Program_Master!$H$15,"Not Eligible",IF(C43="SIBAU-BEEE",IF(AND(Student_Test_Profiles!$C$4="Pre-Engineering",Student_Test_Profiles!$F$4&gt;=Program_Master!$G$15,Student_Test_Profiles!$G$4&gt;=Program_Master!$G$15),"Eligible","Not Eligible"),IF(C43="SIBAU-BECSE",IF(AND(OR(Student_Test_Profiles!$C$4="Pre-Engineering",Student_Test_Profiles!$C$4="ICS"),Student_Test_Profiles!$F$4&gt;=Program_Master!$G$15,OR(Student_Test_Profiles!$G$4&gt;=Program_Master!$G$15,Student_Test_Profiles!$H$4&gt;=Program_Master!$G$15)),"Eligible","Not Eligible"),"Eligible")))</x:f>
        <x:v>Eligible</x:v>
      </x:c>
      <x:c r="G43" s="12" t="str">
        <x:f>IF(F43="Eligible",IF(OR(C43="SIBAU-BEEE",C43="SIBAU-BECSE"),"Meets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3" s="22" t="n">
        <x:f>IFERROR(SUMPRODUCT(Student_Test_Profiles!$F$4:$N$4,Program_Master!$I$15:$Q$15)/SUMPRODUCT(--(Student_Test_Profiles!$F$4:$N$4&lt;&gt;""),Program_Master!$I$15:$Q$15),"")</x:f>
        <x:v>74.6842105263158</x:v>
      </x:c>
      <x:c r="I43" s="22" t="n">
        <x:f>SUMPRODUCT(Student_Test_Profiles!$O$4:$Y$4,Program_Master!$X$15:$AH$15)/100</x:f>
        <x:v>44.7</x:v>
      </x:c>
      <x:c r="J43" s="22" t="n">
        <x:f>SUMPRODUCT(Student_Test_Profiles!$Z$4:$AE$4,Program_Master!$R$15:$W$15)/100</x:f>
        <x:v>73</x:v>
      </x:c>
      <x:c r="K43" s="22" t="n">
        <x:f>IF(F43="Eligible",H43*0.5+I43*0.3+J43*0.2,"")</x:f>
        <x:v>65.35210526315791</x:v>
      </x:c>
      <x:c r="L43" s="22" t="n">
        <x:f>IF(F43&lt;&gt;"Eligible","",1+COUNTIFS($F$30:$F$43,"Eligible",$K$30:$K$43,"&gt;"&amp;K43))</x:f>
        <x:v>8</x:v>
      </x:c>
      <x:c r="M43" s="22" t="str">
        <x:f>IF(K43="","",IF(K43&gt;=85,"Excellent Match",IF(K43&gt;=75,"Strong Match",IF(K43&gt;=65,"Good Match",IF(K43&gt;=55,"Moderate Match","Weak Match")))))</x:f>
        <x:v>Good Match</x:v>
      </x:c>
      <x:c r="N43" s="12" t="str">
        <x:f>IF(Student_Test_Profiles!$A$4="TEST-B","Biology/health profile has no close clinical program at SIBAU; treat results as alternatives.",IF(Student_Test_Profiles!$A$4="TEST-E","Computing interest is high, but Mathematics eligibility requires verification.",IF(Student_Test_Profiles!$A$4="TEST-F","No dominant pattern; recommendation confidence should remain low.","Marks, interests and aptitude should be checked for alignment.")))</x:f>
        <x:v>Marks, interests and aptitude should be checked for alignment.</x:v>
      </x:c>
    </x:row>
    <x:row r="44">
      <x:c r="A44" s="12" t="str">
        <x:f>Student_Test_Profiles!A5</x:f>
        <x:v>TEST-D</x:v>
      </x:c>
      <x:c r="B44" s="12" t="str">
        <x:f>Student_Test_Profiles!B5</x:f>
        <x:v>Engineering and Hardware Student</x:v>
      </x:c>
      <x:c r="C44" s="12" t="str">
        <x:f>Program_Master!A2</x:f>
        <x:v>SIBAU-BBA</x:v>
      </x:c>
      <x:c r="D44" s="12" t="str">
        <x:f>Program_Master!B2</x:f>
        <x:v>Bachelor of Business Administration (BBA)</x:v>
      </x:c>
      <x:c r="E44" s="12" t="str">
        <x:f>Program_Master!C2</x:f>
        <x:v>Business &amp; Management</x:v>
      </x:c>
      <x:c r="F44" s="12" t="str">
        <x:f>IF(Student_Test_Profiles!$AF$5&lt;Program_Master!$H$2,"Not Eligible",IF(C44="SIBAU-BEEE",IF(AND(Student_Test_Profiles!$C$5="Pre-Engineering",Student_Test_Profiles!$F$5&gt;=Program_Master!$G$2,Student_Test_Profiles!$G$5&gt;=Program_Master!$G$2),"Eligible","Not Eligible"),IF(C44="SIBAU-BECSE",IF(AND(OR(Student_Test_Profiles!$C$5="Pre-Engineering",Student_Test_Profiles!$C$5="ICS"),Student_Test_Profiles!$F$5&gt;=Program_Master!$G$2,OR(Student_Test_Profiles!$G$5&gt;=Program_Master!$G$2,Student_Test_Profiles!$H$5&gt;=Program_Master!$G$2)),"Eligible","Not Eligible"),"Eligible")))</x:f>
        <x:v>Eligible</x:v>
      </x:c>
      <x:c r="G44" s="12" t="str">
        <x:f>IF(F44="Eligible",IF(OR(C44="SIBAU-BEEE",C44="SIBAU-BECSE"),"Meets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4" s="22" t="n">
        <x:f>IFERROR(SUMPRODUCT(Student_Test_Profiles!$F$5:$N$5,Program_Master!$I$2:$Q$2)/SUMPRODUCT(--(Student_Test_Profiles!$F$5:$N$5&lt;&gt;""),Program_Master!$I$2:$Q$2),"")</x:f>
        <x:v>73.06666666666666</x:v>
      </x:c>
      <x:c r="I44" s="22" t="n">
        <x:f>SUMPRODUCT(Student_Test_Profiles!$O$5:$Y$5,Program_Master!$X$2:$AH$2)/100</x:f>
        <x:v>35.3</x:v>
      </x:c>
      <x:c r="J44" s="22" t="n">
        <x:f>SUMPRODUCT(Student_Test_Profiles!$Z$5:$AE$5,Program_Master!$R$2:$W$2)/100</x:f>
        <x:v>66.35</x:v>
      </x:c>
      <x:c r="K44" s="22" t="n">
        <x:f>IF(F44="Eligible",H44*0.5+I44*0.3+J44*0.2,"")</x:f>
        <x:v>60.39333333333333</x:v>
      </x:c>
      <x:c r="L44" s="22" t="n">
        <x:f>IF(F44&lt;&gt;"Eligible","",1+COUNTIFS($F$44:$F$57,"Eligible",$K$44:$K$57,"&gt;"&amp;K44))</x:f>
        <x:v>12</x:v>
      </x:c>
      <x:c r="M44" s="22" t="str">
        <x:f>IF(K44="","",IF(K44&gt;=85,"Excellent Match",IF(K44&gt;=75,"Strong Match",IF(K44&gt;=65,"Good Match",IF(K44&gt;=55,"Moderate Match","Weak Match")))))</x:f>
        <x:v>Moderate Match</x:v>
      </x:c>
      <x:c r="N44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45">
      <x:c r="A45" s="12" t="str">
        <x:f>Student_Test_Profiles!A5</x:f>
        <x:v>TEST-D</x:v>
      </x:c>
      <x:c r="B45" s="12" t="str">
        <x:f>Student_Test_Profiles!B5</x:f>
        <x:v>Engineering and Hardware Student</x:v>
      </x:c>
      <x:c r="C45" s="12" t="str">
        <x:f>Program_Master!A3</x:f>
        <x:v>SIBAU-BBA-AGRI</x:v>
      </x:c>
      <x:c r="D45" s="12" t="str">
        <x:f>Program_Master!B3</x:f>
        <x:v>BBA (Agribusiness)</x:v>
      </x:c>
      <x:c r="E45" s="12" t="str">
        <x:f>Program_Master!C3</x:f>
        <x:v>Business &amp; Agriculture</x:v>
      </x:c>
      <x:c r="F45" s="12" t="str">
        <x:f>IF(Student_Test_Profiles!$AF$5&lt;Program_Master!$H$3,"Not Eligible",IF(C45="SIBAU-BEEE",IF(AND(Student_Test_Profiles!$C$5="Pre-Engineering",Student_Test_Profiles!$F$5&gt;=Program_Master!$G$3,Student_Test_Profiles!$G$5&gt;=Program_Master!$G$3),"Eligible","Not Eligible"),IF(C45="SIBAU-BECSE",IF(AND(OR(Student_Test_Profiles!$C$5="Pre-Engineering",Student_Test_Profiles!$C$5="ICS"),Student_Test_Profiles!$F$5&gt;=Program_Master!$G$3,OR(Student_Test_Profiles!$G$5&gt;=Program_Master!$G$3,Student_Test_Profiles!$H$5&gt;=Program_Master!$G$3)),"Eligible","Not Eligible"),"Eligible")))</x:f>
        <x:v>Eligible</x:v>
      </x:c>
      <x:c r="G45" s="12" t="str">
        <x:f>IF(F45="Eligible",IF(OR(C45="SIBAU-BEEE",C45="SIBAU-BECSE"),"Meets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5" s="22" t="n">
        <x:f>IFERROR(SUMPRODUCT(Student_Test_Profiles!$F$5:$N$5,Program_Master!$I$3:$Q$3)/SUMPRODUCT(--(Student_Test_Profiles!$F$5:$N$5&lt;&gt;""),Program_Master!$I$3:$Q$3),"")</x:f>
        <x:v>73.73333333333333</x:v>
      </x:c>
      <x:c r="I45" s="22" t="n">
        <x:f>SUMPRODUCT(Student_Test_Profiles!$O$5:$Y$5,Program_Master!$X$3:$AH$3)/100</x:f>
        <x:v>37.35</x:v>
      </x:c>
      <x:c r="J45" s="22" t="n">
        <x:f>SUMPRODUCT(Student_Test_Profiles!$Z$5:$AE$5,Program_Master!$R$3:$W$3)/100</x:f>
        <x:v>67.55</x:v>
      </x:c>
      <x:c r="K45" s="22" t="n">
        <x:f>IF(F45="Eligible",H45*0.5+I45*0.3+J45*0.2,"")</x:f>
        <x:v>61.58166666666666</x:v>
      </x:c>
      <x:c r="L45" s="22" t="n">
        <x:f>IF(F45&lt;&gt;"Eligible","",1+COUNTIFS($F$44:$F$57,"Eligible",$K$44:$K$57,"&gt;"&amp;K45))</x:f>
        <x:v>11</x:v>
      </x:c>
      <x:c r="M45" s="22" t="str">
        <x:f>IF(K45="","",IF(K45&gt;=85,"Excellent Match",IF(K45&gt;=75,"Strong Match",IF(K45&gt;=65,"Good Match",IF(K45&gt;=55,"Moderate Match","Weak Match")))))</x:f>
        <x:v>Moderate Match</x:v>
      </x:c>
      <x:c r="N45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46">
      <x:c r="A46" s="12" t="str">
        <x:f>Student_Test_Profiles!A5</x:f>
        <x:v>TEST-D</x:v>
      </x:c>
      <x:c r="B46" s="12" t="str">
        <x:f>Student_Test_Profiles!B5</x:f>
        <x:v>Engineering and Hardware Student</x:v>
      </x:c>
      <x:c r="C46" s="12" t="str">
        <x:f>Program_Master!A4</x:f>
        <x:v>SIBAU-BSCS</x:v>
      </x:c>
      <x:c r="D46" s="12" t="str">
        <x:f>Program_Master!B4</x:f>
        <x:v>BS Computer Science</x:v>
      </x:c>
      <x:c r="E46" s="12" t="str">
        <x:f>Program_Master!C4</x:f>
        <x:v>Computing</x:v>
      </x:c>
      <x:c r="F46" s="12" t="str">
        <x:f>IF(Student_Test_Profiles!$AF$5&lt;Program_Master!$H$4,"Not Eligible",IF(C46="SIBAU-BEEE",IF(AND(Student_Test_Profiles!$C$5="Pre-Engineering",Student_Test_Profiles!$F$5&gt;=Program_Master!$G$4,Student_Test_Profiles!$G$5&gt;=Program_Master!$G$4),"Eligible","Not Eligible"),IF(C46="SIBAU-BECSE",IF(AND(OR(Student_Test_Profiles!$C$5="Pre-Engineering",Student_Test_Profiles!$C$5="ICS"),Student_Test_Profiles!$F$5&gt;=Program_Master!$G$4,OR(Student_Test_Profiles!$G$5&gt;=Program_Master!$G$4,Student_Test_Profiles!$H$5&gt;=Program_Master!$G$4)),"Eligible","Not Eligible"),"Eligible")))</x:f>
        <x:v>Eligible</x:v>
      </x:c>
      <x:c r="G46" s="12" t="str">
        <x:f>IF(F46="Eligible",IF(OR(C46="SIBAU-BEEE",C46="SIBAU-BECSE"),"Meets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6" s="22" t="n">
        <x:f>IFERROR(SUMPRODUCT(Student_Test_Profiles!$F$5:$N$5,Program_Master!$I$4:$Q$4)/SUMPRODUCT(--(Student_Test_Profiles!$F$5:$N$5&lt;&gt;""),Program_Master!$I$4:$Q$4),"")</x:f>
        <x:v>78.2</x:v>
      </x:c>
      <x:c r="I46" s="22" t="n">
        <x:f>SUMPRODUCT(Student_Test_Profiles!$O$5:$Y$5,Program_Master!$X$4:$AH$4)/100</x:f>
        <x:v>71.65</x:v>
      </x:c>
      <x:c r="J46" s="22" t="n">
        <x:f>SUMPRODUCT(Student_Test_Profiles!$Z$5:$AE$5,Program_Master!$R$4:$W$4)/100</x:f>
        <x:v>78.65</x:v>
      </x:c>
      <x:c r="K46" s="22" t="n">
        <x:f>IF(F46="Eligible",H46*0.5+I46*0.3+J46*0.2,"")</x:f>
        <x:v>76.325</x:v>
      </x:c>
      <x:c r="L46" s="22" t="n">
        <x:f>IF(F46&lt;&gt;"Eligible","",1+COUNTIFS($F$44:$F$57,"Eligible",$K$44:$K$57,"&gt;"&amp;K46))</x:f>
        <x:v>5</x:v>
      </x:c>
      <x:c r="M46" s="22" t="str">
        <x:f>IF(K46="","",IF(K46&gt;=85,"Excellent Match",IF(K46&gt;=75,"Strong Match",IF(K46&gt;=65,"Good Match",IF(K46&gt;=55,"Moderate Match","Weak Match")))))</x:f>
        <x:v>Strong Match</x:v>
      </x:c>
      <x:c r="N46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47">
      <x:c r="A47" s="12" t="str">
        <x:f>Student_Test_Profiles!A5</x:f>
        <x:v>TEST-D</x:v>
      </x:c>
      <x:c r="B47" s="12" t="str">
        <x:f>Student_Test_Profiles!B5</x:f>
        <x:v>Engineering and Hardware Student</x:v>
      </x:c>
      <x:c r="C47" s="12" t="str">
        <x:f>Program_Master!A5</x:f>
        <x:v>SIBAU-BSSE</x:v>
      </x:c>
      <x:c r="D47" s="12" t="str">
        <x:f>Program_Master!B5</x:f>
        <x:v>BS Software Engineering</x:v>
      </x:c>
      <x:c r="E47" s="12" t="str">
        <x:f>Program_Master!C5</x:f>
        <x:v>Computing</x:v>
      </x:c>
      <x:c r="F47" s="12" t="str">
        <x:f>IF(Student_Test_Profiles!$AF$5&lt;Program_Master!$H$5,"Not Eligible",IF(C47="SIBAU-BEEE",IF(AND(Student_Test_Profiles!$C$5="Pre-Engineering",Student_Test_Profiles!$F$5&gt;=Program_Master!$G$5,Student_Test_Profiles!$G$5&gt;=Program_Master!$G$5),"Eligible","Not Eligible"),IF(C47="SIBAU-BECSE",IF(AND(OR(Student_Test_Profiles!$C$5="Pre-Engineering",Student_Test_Profiles!$C$5="ICS"),Student_Test_Profiles!$F$5&gt;=Program_Master!$G$5,OR(Student_Test_Profiles!$G$5&gt;=Program_Master!$G$5,Student_Test_Profiles!$H$5&gt;=Program_Master!$G$5)),"Eligible","Not Eligible"),"Eligible")))</x:f>
        <x:v>Eligible</x:v>
      </x:c>
      <x:c r="G47" s="12" t="str">
        <x:f>IF(F47="Eligible",IF(OR(C47="SIBAU-BEEE",C47="SIBAU-BECSE"),"Meets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7" s="22" t="n">
        <x:f>IFERROR(SUMPRODUCT(Student_Test_Profiles!$F$5:$N$5,Program_Master!$I$5:$Q$5)/SUMPRODUCT(--(Student_Test_Profiles!$F$5:$N$5&lt;&gt;""),Program_Master!$I$5:$Q$5),"")</x:f>
        <x:v>76.4</x:v>
      </x:c>
      <x:c r="I47" s="22" t="n">
        <x:f>SUMPRODUCT(Student_Test_Profiles!$O$5:$Y$5,Program_Master!$X$5:$AH$5)/100</x:f>
        <x:v>70.8</x:v>
      </x:c>
      <x:c r="J47" s="22" t="n">
        <x:f>SUMPRODUCT(Student_Test_Profiles!$Z$5:$AE$5,Program_Master!$R$5:$W$5)/100</x:f>
        <x:v>73.8</x:v>
      </x:c>
      <x:c r="K47" s="22" t="n">
        <x:f>IF(F47="Eligible",H47*0.5+I47*0.3+J47*0.2,"")</x:f>
        <x:v>74.2</x:v>
      </x:c>
      <x:c r="L47" s="22" t="n">
        <x:f>IF(F47&lt;&gt;"Eligible","",1+COUNTIFS($F$44:$F$57,"Eligible",$K$44:$K$57,"&gt;"&amp;K47))</x:f>
        <x:v>6</x:v>
      </x:c>
      <x:c r="M47" s="22" t="str">
        <x:f>IF(K47="","",IF(K47&gt;=85,"Excellent Match",IF(K47&gt;=75,"Strong Match",IF(K47&gt;=65,"Good Match",IF(K47&gt;=55,"Moderate Match","Weak Match")))))</x:f>
        <x:v>Good Match</x:v>
      </x:c>
      <x:c r="N47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48">
      <x:c r="A48" s="12" t="str">
        <x:f>Student_Test_Profiles!A5</x:f>
        <x:v>TEST-D</x:v>
      </x:c>
      <x:c r="B48" s="12" t="str">
        <x:f>Student_Test_Profiles!B5</x:f>
        <x:v>Engineering and Hardware Student</x:v>
      </x:c>
      <x:c r="C48" s="12" t="str">
        <x:f>Program_Master!A6</x:f>
        <x:v>SIBAU-BSAI</x:v>
      </x:c>
      <x:c r="D48" s="12" t="str">
        <x:f>Program_Master!B6</x:f>
        <x:v>BS Artificial Intelligence</x:v>
      </x:c>
      <x:c r="E48" s="12" t="str">
        <x:f>Program_Master!C6</x:f>
        <x:v>Computing &amp; AI</x:v>
      </x:c>
      <x:c r="F48" s="12" t="str">
        <x:f>IF(Student_Test_Profiles!$AF$5&lt;Program_Master!$H$6,"Not Eligible",IF(C48="SIBAU-BEEE",IF(AND(Student_Test_Profiles!$C$5="Pre-Engineering",Student_Test_Profiles!$F$5&gt;=Program_Master!$G$6,Student_Test_Profiles!$G$5&gt;=Program_Master!$G$6),"Eligible","Not Eligible"),IF(C48="SIBAU-BECSE",IF(AND(OR(Student_Test_Profiles!$C$5="Pre-Engineering",Student_Test_Profiles!$C$5="ICS"),Student_Test_Profiles!$F$5&gt;=Program_Master!$G$6,OR(Student_Test_Profiles!$G$5&gt;=Program_Master!$G$6,Student_Test_Profiles!$H$5&gt;=Program_Master!$G$6)),"Eligible","Not Eligible"),"Eligible")))</x:f>
        <x:v>Eligible</x:v>
      </x:c>
      <x:c r="G48" s="12" t="str">
        <x:f>IF(F48="Eligible",IF(OR(C48="SIBAU-BEEE",C48="SIBAU-BECSE"),"Meets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8" s="22" t="n">
        <x:f>IFERROR(SUMPRODUCT(Student_Test_Profiles!$F$5:$N$5,Program_Master!$I$6:$Q$6)/SUMPRODUCT(--(Student_Test_Profiles!$F$5:$N$5&lt;&gt;""),Program_Master!$I$6:$Q$6),"")</x:f>
        <x:v>78.73684210526316</x:v>
      </x:c>
      <x:c r="I48" s="22" t="n">
        <x:f>SUMPRODUCT(Student_Test_Profiles!$O$5:$Y$5,Program_Master!$X$6:$AH$6)/100</x:f>
        <x:v>74.15</x:v>
      </x:c>
      <x:c r="J48" s="22" t="n">
        <x:f>SUMPRODUCT(Student_Test_Profiles!$Z$5:$AE$5,Program_Master!$R$6:$W$6)/100</x:f>
        <x:v>79.9</x:v>
      </x:c>
      <x:c r="K48" s="22" t="n">
        <x:f>IF(F48="Eligible",H48*0.5+I48*0.3+J48*0.2,"")</x:f>
        <x:v>77.59342105263158</x:v>
      </x:c>
      <x:c r="L48" s="22" t="n">
        <x:f>IF(F48&lt;&gt;"Eligible","",1+COUNTIFS($F$44:$F$57,"Eligible",$K$44:$K$57,"&gt;"&amp;K48))</x:f>
        <x:v>4</x:v>
      </x:c>
      <x:c r="M48" s="22" t="str">
        <x:f>IF(K48="","",IF(K48&gt;=85,"Excellent Match",IF(K48&gt;=75,"Strong Match",IF(K48&gt;=65,"Good Match",IF(K48&gt;=55,"Moderate Match","Weak Match")))))</x:f>
        <x:v>Strong Match</x:v>
      </x:c>
      <x:c r="N48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49">
      <x:c r="A49" s="12" t="str">
        <x:f>Student_Test_Profiles!A5</x:f>
        <x:v>TEST-D</x:v>
      </x:c>
      <x:c r="B49" s="12" t="str">
        <x:f>Student_Test_Profiles!B5</x:f>
        <x:v>Engineering and Hardware Student</x:v>
      </x:c>
      <x:c r="C49" s="12" t="str">
        <x:f>Program_Master!A7</x:f>
        <x:v>SIBAU-BSAF</x:v>
      </x:c>
      <x:c r="D49" s="12" t="str">
        <x:f>Program_Master!B7</x:f>
        <x:v>BS Accounting &amp; Finance</x:v>
      </x:c>
      <x:c r="E49" s="12" t="str">
        <x:f>Program_Master!C7</x:f>
        <x:v>Business &amp; Finance</x:v>
      </x:c>
      <x:c r="F49" s="12" t="str">
        <x:f>IF(Student_Test_Profiles!$AF$5&lt;Program_Master!$H$7,"Not Eligible",IF(C49="SIBAU-BEEE",IF(AND(Student_Test_Profiles!$C$5="Pre-Engineering",Student_Test_Profiles!$F$5&gt;=Program_Master!$G$7,Student_Test_Profiles!$G$5&gt;=Program_Master!$G$7),"Eligible","Not Eligible"),IF(C49="SIBAU-BECSE",IF(AND(OR(Student_Test_Profiles!$C$5="Pre-Engineering",Student_Test_Profiles!$C$5="ICS"),Student_Test_Profiles!$F$5&gt;=Program_Master!$G$7,OR(Student_Test_Profiles!$G$5&gt;=Program_Master!$G$7,Student_Test_Profiles!$H$5&gt;=Program_Master!$G$7)),"Eligible","Not Eligible"),"Eligible")))</x:f>
        <x:v>Eligible</x:v>
      </x:c>
      <x:c r="G49" s="12" t="str">
        <x:f>IF(F49="Eligible",IF(OR(C49="SIBAU-BEEE",C49="SIBAU-BECSE"),"Meets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49" s="22" t="n">
        <x:f>IFERROR(SUMPRODUCT(Student_Test_Profiles!$F$5:$N$5,Program_Master!$I$7:$Q$7)/SUMPRODUCT(--(Student_Test_Profiles!$F$5:$N$5&lt;&gt;""),Program_Master!$I$7:$Q$7),"")</x:f>
        <x:v>77.33333333333333</x:v>
      </x:c>
      <x:c r="I49" s="22" t="n">
        <x:f>SUMPRODUCT(Student_Test_Profiles!$O$5:$Y$5,Program_Master!$X$7:$AH$7)/100</x:f>
        <x:v>46.45</x:v>
      </x:c>
      <x:c r="J49" s="22" t="n">
        <x:f>SUMPRODUCT(Student_Test_Profiles!$Z$5:$AE$5,Program_Master!$R$7:$W$7)/100</x:f>
        <x:v>70.9</x:v>
      </x:c>
      <x:c r="K49" s="22" t="n">
        <x:f>IF(F49="Eligible",H49*0.5+I49*0.3+J49*0.2,"")</x:f>
        <x:v>66.78166666666667</x:v>
      </x:c>
      <x:c r="L49" s="22" t="n">
        <x:f>IF(F49&lt;&gt;"Eligible","",1+COUNTIFS($F$44:$F$57,"Eligible",$K$44:$K$57,"&gt;"&amp;K49))</x:f>
        <x:v>8</x:v>
      </x:c>
      <x:c r="M49" s="22" t="str">
        <x:f>IF(K49="","",IF(K49&gt;=85,"Excellent Match",IF(K49&gt;=75,"Strong Match",IF(K49&gt;=65,"Good Match",IF(K49&gt;=55,"Moderate Match","Weak Match")))))</x:f>
        <x:v>Good Match</x:v>
      </x:c>
      <x:c r="N49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0">
      <x:c r="A50" s="12" t="str">
        <x:f>Student_Test_Profiles!A5</x:f>
        <x:v>TEST-D</x:v>
      </x:c>
      <x:c r="B50" s="12" t="str">
        <x:f>Student_Test_Profiles!B5</x:f>
        <x:v>Engineering and Hardware Student</x:v>
      </x:c>
      <x:c r="C50" s="12" t="str">
        <x:f>Program_Master!A8</x:f>
        <x:v>SIBAU-BSECO</x:v>
      </x:c>
      <x:c r="D50" s="12" t="str">
        <x:f>Program_Master!B8</x:f>
        <x:v>BS Economics</x:v>
      </x:c>
      <x:c r="E50" s="12" t="str">
        <x:f>Program_Master!C8</x:f>
        <x:v>Economics &amp; Social Science</x:v>
      </x:c>
      <x:c r="F50" s="12" t="str">
        <x:f>IF(Student_Test_Profiles!$AF$5&lt;Program_Master!$H$8,"Not Eligible",IF(C50="SIBAU-BEEE",IF(AND(Student_Test_Profiles!$C$5="Pre-Engineering",Student_Test_Profiles!$F$5&gt;=Program_Master!$G$8,Student_Test_Profiles!$G$5&gt;=Program_Master!$G$8),"Eligible","Not Eligible"),IF(C50="SIBAU-BECSE",IF(AND(OR(Student_Test_Profiles!$C$5="Pre-Engineering",Student_Test_Profiles!$C$5="ICS"),Student_Test_Profiles!$F$5&gt;=Program_Master!$G$8,OR(Student_Test_Profiles!$G$5&gt;=Program_Master!$G$8,Student_Test_Profiles!$H$5&gt;=Program_Master!$G$8)),"Eligible","Not Eligible"),"Eligible")))</x:f>
        <x:v>Eligible</x:v>
      </x:c>
      <x:c r="G50" s="12" t="str">
        <x:f>IF(F50="Eligible",IF(OR(C50="SIBAU-BEEE",C50="SIBAU-BECSE"),"Meets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0" s="22" t="n">
        <x:f>IFERROR(SUMPRODUCT(Student_Test_Profiles!$F$5:$N$5,Program_Master!$I$8:$Q$8)/SUMPRODUCT(--(Student_Test_Profiles!$F$5:$N$5&lt;&gt;""),Program_Master!$I$8:$Q$8),"")</x:f>
        <x:v>76.3076923076923</x:v>
      </x:c>
      <x:c r="I50" s="22" t="n">
        <x:f>SUMPRODUCT(Student_Test_Profiles!$O$5:$Y$5,Program_Master!$X$8:$AH$8)/100</x:f>
        <x:v>65.9</x:v>
      </x:c>
      <x:c r="J50" s="22" t="n">
        <x:f>SUMPRODUCT(Student_Test_Profiles!$Z$5:$AE$5,Program_Master!$R$8:$W$8)/100</x:f>
        <x:v>70.95</x:v>
      </x:c>
      <x:c r="K50" s="22" t="n">
        <x:f>IF(F50="Eligible",H50*0.5+I50*0.3+J50*0.2,"")</x:f>
        <x:v>72.11384615384615</x:v>
      </x:c>
      <x:c r="L50" s="22" t="n">
        <x:f>IF(F50&lt;&gt;"Eligible","",1+COUNTIFS($F$44:$F$57,"Eligible",$K$44:$K$57,"&gt;"&amp;K50))</x:f>
        <x:v>7</x:v>
      </x:c>
      <x:c r="M50" s="22" t="str">
        <x:f>IF(K50="","",IF(K50&gt;=85,"Excellent Match",IF(K50&gt;=75,"Strong Match",IF(K50&gt;=65,"Good Match",IF(K50&gt;=55,"Moderate Match","Weak Match")))))</x:f>
        <x:v>Good Match</x:v>
      </x:c>
      <x:c r="N50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1">
      <x:c r="A51" s="12" t="str">
        <x:f>Student_Test_Profiles!A5</x:f>
        <x:v>TEST-D</x:v>
      </x:c>
      <x:c r="B51" s="12" t="str">
        <x:f>Student_Test_Profiles!B5</x:f>
        <x:v>Engineering and Hardware Student</x:v>
      </x:c>
      <x:c r="C51" s="12" t="str">
        <x:f>Program_Master!A9</x:f>
        <x:v>SIBAU-BSMATH</x:v>
      </x:c>
      <x:c r="D51" s="12" t="str">
        <x:f>Program_Master!B9</x:f>
        <x:v>BS Mathematics</x:v>
      </x:c>
      <x:c r="E51" s="12" t="str">
        <x:f>Program_Master!C9</x:f>
        <x:v>Mathematics &amp; Sciences</x:v>
      </x:c>
      <x:c r="F51" s="12" t="str">
        <x:f>IF(Student_Test_Profiles!$AF$5&lt;Program_Master!$H$9,"Not Eligible",IF(C51="SIBAU-BEEE",IF(AND(Student_Test_Profiles!$C$5="Pre-Engineering",Student_Test_Profiles!$F$5&gt;=Program_Master!$G$9,Student_Test_Profiles!$G$5&gt;=Program_Master!$G$9),"Eligible","Not Eligible"),IF(C51="SIBAU-BECSE",IF(AND(OR(Student_Test_Profiles!$C$5="Pre-Engineering",Student_Test_Profiles!$C$5="ICS"),Student_Test_Profiles!$F$5&gt;=Program_Master!$G$9,OR(Student_Test_Profiles!$G$5&gt;=Program_Master!$G$9,Student_Test_Profiles!$H$5&gt;=Program_Master!$G$9)),"Eligible","Not Eligible"),"Eligible")))</x:f>
        <x:v>Eligible</x:v>
      </x:c>
      <x:c r="G51" s="12" t="str">
        <x:f>IF(F51="Eligible",IF(OR(C51="SIBAU-BEEE",C51="SIBAU-BECSE"),"Meets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1" s="22" t="n">
        <x:f>IFERROR(SUMPRODUCT(Student_Test_Profiles!$F$5:$N$5,Program_Master!$I$9:$Q$9)/SUMPRODUCT(--(Student_Test_Profiles!$F$5:$N$5&lt;&gt;""),Program_Master!$I$9:$Q$9),"")</x:f>
        <x:v>82.3</x:v>
      </x:c>
      <x:c r="I51" s="22" t="n">
        <x:f>SUMPRODUCT(Student_Test_Profiles!$O$5:$Y$5,Program_Master!$X$9:$AH$9)/100</x:f>
        <x:v>81.75</x:v>
      </x:c>
      <x:c r="J51" s="22" t="n">
        <x:f>SUMPRODUCT(Student_Test_Profiles!$Z$5:$AE$5,Program_Master!$R$9:$W$9)/100</x:f>
        <x:v>82.35</x:v>
      </x:c>
      <x:c r="K51" s="22" t="n">
        <x:f>IF(F51="Eligible",H51*0.5+I51*0.3+J51*0.2,"")</x:f>
        <x:v>82.145</x:v>
      </x:c>
      <x:c r="L51" s="22" t="n">
        <x:f>IF(F51&lt;&gt;"Eligible","",1+COUNTIFS($F$44:$F$57,"Eligible",$K$44:$K$57,"&gt;"&amp;K51))</x:f>
        <x:v>2</x:v>
      </x:c>
      <x:c r="M51" s="22" t="str">
        <x:f>IF(K51="","",IF(K51&gt;=85,"Excellent Match",IF(K51&gt;=75,"Strong Match",IF(K51&gt;=65,"Good Match",IF(K51&gt;=55,"Moderate Match","Weak Match")))))</x:f>
        <x:v>Strong Match</x:v>
      </x:c>
      <x:c r="N51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2">
      <x:c r="A52" s="12" t="str">
        <x:f>Student_Test_Profiles!A5</x:f>
        <x:v>TEST-D</x:v>
      </x:c>
      <x:c r="B52" s="12" t="str">
        <x:f>Student_Test_Profiles!B5</x:f>
        <x:v>Engineering and Hardware Student</x:v>
      </x:c>
      <x:c r="C52" s="12" t="str">
        <x:f>Program_Master!A10</x:f>
        <x:v>SIBAU-BSMC</x:v>
      </x:c>
      <x:c r="D52" s="12" t="str">
        <x:f>Program_Master!B10</x:f>
        <x:v>BS Media &amp; Communication</x:v>
      </x:c>
      <x:c r="E52" s="12" t="str">
        <x:f>Program_Master!C10</x:f>
        <x:v>Media &amp; Communication</x:v>
      </x:c>
      <x:c r="F52" s="12" t="str">
        <x:f>IF(Student_Test_Profiles!$AF$5&lt;Program_Master!$H$10,"Not Eligible",IF(C52="SIBAU-BEEE",IF(AND(Student_Test_Profiles!$C$5="Pre-Engineering",Student_Test_Profiles!$F$5&gt;=Program_Master!$G$10,Student_Test_Profiles!$G$5&gt;=Program_Master!$G$10),"Eligible","Not Eligible"),IF(C52="SIBAU-BECSE",IF(AND(OR(Student_Test_Profiles!$C$5="Pre-Engineering",Student_Test_Profiles!$C$5="ICS"),Student_Test_Profiles!$F$5&gt;=Program_Master!$G$10,OR(Student_Test_Profiles!$G$5&gt;=Program_Master!$G$10,Student_Test_Profiles!$H$5&gt;=Program_Master!$G$10)),"Eligible","Not Eligible"),"Eligible")))</x:f>
        <x:v>Eligible</x:v>
      </x:c>
      <x:c r="G52" s="12" t="str">
        <x:f>IF(F52="Eligible",IF(OR(C52="SIBAU-BEEE",C52="SIBAU-BECSE"),"Meets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2" s="22" t="n">
        <x:f>IFERROR(SUMPRODUCT(Student_Test_Profiles!$F$5:$N$5,Program_Master!$I$10:$Q$10)/SUMPRODUCT(--(Student_Test_Profiles!$F$5:$N$5&lt;&gt;""),Program_Master!$I$10:$Q$10),"")</x:f>
        <x:v>69.36842105263158</x:v>
      </x:c>
      <x:c r="I52" s="22" t="n">
        <x:f>SUMPRODUCT(Student_Test_Profiles!$O$5:$Y$5,Program_Master!$X$10:$AH$10)/100</x:f>
        <x:v>44.45</x:v>
      </x:c>
      <x:c r="J52" s="22" t="n">
        <x:f>SUMPRODUCT(Student_Test_Profiles!$Z$5:$AE$5,Program_Master!$R$10:$W$10)/100</x:f>
        <x:v>55.7</x:v>
      </x:c>
      <x:c r="K52" s="22" t="n">
        <x:f>IF(F52="Eligible",H52*0.5+I52*0.3+J52*0.2,"")</x:f>
        <x:v>59.15921052631579</x:v>
      </x:c>
      <x:c r="L52" s="22" t="n">
        <x:f>IF(F52&lt;&gt;"Eligible","",1+COUNTIFS($F$44:$F$57,"Eligible",$K$44:$K$57,"&gt;"&amp;K52))</x:f>
        <x:v>14</x:v>
      </x:c>
      <x:c r="M52" s="22" t="str">
        <x:f>IF(K52="","",IF(K52&gt;=85,"Excellent Match",IF(K52&gt;=75,"Strong Match",IF(K52&gt;=65,"Good Match",IF(K52&gt;=55,"Moderate Match","Weak Match")))))</x:f>
        <x:v>Moderate Match</x:v>
      </x:c>
      <x:c r="N52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3">
      <x:c r="A53" s="12" t="str">
        <x:f>Student_Test_Profiles!A5</x:f>
        <x:v>TEST-D</x:v>
      </x:c>
      <x:c r="B53" s="12" t="str">
        <x:f>Student_Test_Profiles!B5</x:f>
        <x:v>Engineering and Hardware Student</x:v>
      </x:c>
      <x:c r="C53" s="12" t="str">
        <x:f>Program_Master!A11</x:f>
        <x:v>SIBAU-BSPESS</x:v>
      </x:c>
      <x:c r="D53" s="12" t="str">
        <x:f>Program_Master!B11</x:f>
        <x:v>BS Physical Education &amp; Sports Sciences</x:v>
      </x:c>
      <x:c r="E53" s="12" t="str">
        <x:f>Program_Master!C11</x:f>
        <x:v>Sports &amp; Health</x:v>
      </x:c>
      <x:c r="F53" s="12" t="str">
        <x:f>IF(Student_Test_Profiles!$AF$5&lt;Program_Master!$H$11,"Not Eligible",IF(C53="SIBAU-BEEE",IF(AND(Student_Test_Profiles!$C$5="Pre-Engineering",Student_Test_Profiles!$F$5&gt;=Program_Master!$G$11,Student_Test_Profiles!$G$5&gt;=Program_Master!$G$11),"Eligible","Not Eligible"),IF(C53="SIBAU-BECSE",IF(AND(OR(Student_Test_Profiles!$C$5="Pre-Engineering",Student_Test_Profiles!$C$5="ICS"),Student_Test_Profiles!$F$5&gt;=Program_Master!$G$11,OR(Student_Test_Profiles!$G$5&gt;=Program_Master!$G$11,Student_Test_Profiles!$H$5&gt;=Program_Master!$G$11)),"Eligible","Not Eligible"),"Eligible")))</x:f>
        <x:v>Eligible</x:v>
      </x:c>
      <x:c r="G53" s="12" t="str">
        <x:f>IF(F53="Eligible",IF(OR(C53="SIBAU-BEEE",C53="SIBAU-BECSE"),"Meets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3" s="22" t="n">
        <x:f>IFERROR(SUMPRODUCT(Student_Test_Profiles!$F$5:$N$5,Program_Master!$I$11:$Q$11)/SUMPRODUCT(--(Student_Test_Profiles!$F$5:$N$5&lt;&gt;""),Program_Master!$I$11:$Q$11),"")</x:f>
        <x:v>72.1875</x:v>
      </x:c>
      <x:c r="I53" s="22" t="n">
        <x:f>SUMPRODUCT(Student_Test_Profiles!$O$5:$Y$5,Program_Master!$X$11:$AH$11)/100</x:f>
        <x:v>47.05</x:v>
      </x:c>
      <x:c r="J53" s="22" t="n">
        <x:f>SUMPRODUCT(Student_Test_Profiles!$Z$5:$AE$5,Program_Master!$R$11:$W$11)/100</x:f>
        <x:v>65.15</x:v>
      </x:c>
      <x:c r="K53" s="22" t="n">
        <x:f>IF(F53="Eligible",H53*0.5+I53*0.3+J53*0.2,"")</x:f>
        <x:v>63.238749999999996</x:v>
      </x:c>
      <x:c r="L53" s="22" t="n">
        <x:f>IF(F53&lt;&gt;"Eligible","",1+COUNTIFS($F$44:$F$57,"Eligible",$K$44:$K$57,"&gt;"&amp;K53))</x:f>
        <x:v>9</x:v>
      </x:c>
      <x:c r="M53" s="22" t="str">
        <x:f>IF(K53="","",IF(K53&gt;=85,"Excellent Match",IF(K53&gt;=75,"Strong Match",IF(K53&gt;=65,"Good Match",IF(K53&gt;=55,"Moderate Match","Weak Match")))))</x:f>
        <x:v>Moderate Match</x:v>
      </x:c>
      <x:c r="N53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4">
      <x:c r="A54" s="12" t="str">
        <x:f>Student_Test_Profiles!A5</x:f>
        <x:v>TEST-D</x:v>
      </x:c>
      <x:c r="B54" s="12" t="str">
        <x:f>Student_Test_Profiles!B5</x:f>
        <x:v>Engineering and Hardware Student</x:v>
      </x:c>
      <x:c r="C54" s="12" t="str">
        <x:f>Program_Master!A12</x:f>
        <x:v>SIBAU-ADPESS</x:v>
      </x:c>
      <x:c r="D54" s="12" t="str">
        <x:f>Program_Master!B12</x:f>
        <x:v>Associate Degree in Physical Education &amp; Sports Sciences</x:v>
      </x:c>
      <x:c r="E54" s="12" t="str">
        <x:f>Program_Master!C12</x:f>
        <x:v>Sports &amp; Health</x:v>
      </x:c>
      <x:c r="F54" s="12" t="str">
        <x:f>IF(Student_Test_Profiles!$AF$5&lt;Program_Master!$H$12,"Not Eligible",IF(C54="SIBAU-BEEE",IF(AND(Student_Test_Profiles!$C$5="Pre-Engineering",Student_Test_Profiles!$F$5&gt;=Program_Master!$G$12,Student_Test_Profiles!$G$5&gt;=Program_Master!$G$12),"Eligible","Not Eligible"),IF(C54="SIBAU-BECSE",IF(AND(OR(Student_Test_Profiles!$C$5="Pre-Engineering",Student_Test_Profiles!$C$5="ICS"),Student_Test_Profiles!$F$5&gt;=Program_Master!$G$12,OR(Student_Test_Profiles!$G$5&gt;=Program_Master!$G$12,Student_Test_Profiles!$H$5&gt;=Program_Master!$G$12)),"Eligible","Not Eligible"),"Eligible")))</x:f>
        <x:v>Eligible</x:v>
      </x:c>
      <x:c r="G54" s="12" t="str">
        <x:f>IF(F54="Eligible",IF(OR(C54="SIBAU-BEEE",C54="SIBAU-BECSE"),"Meets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4" s="22" t="n">
        <x:f>IFERROR(SUMPRODUCT(Student_Test_Profiles!$F$5:$N$5,Program_Master!$I$12:$Q$12)/SUMPRODUCT(--(Student_Test_Profiles!$F$5:$N$5&lt;&gt;""),Program_Master!$I$12:$Q$12),"")</x:f>
        <x:v>72.1875</x:v>
      </x:c>
      <x:c r="I54" s="22" t="n">
        <x:f>SUMPRODUCT(Student_Test_Profiles!$O$5:$Y$5,Program_Master!$X$12:$AH$12)/100</x:f>
        <x:v>47.05</x:v>
      </x:c>
      <x:c r="J54" s="22" t="n">
        <x:f>SUMPRODUCT(Student_Test_Profiles!$Z$5:$AE$5,Program_Master!$R$12:$W$12)/100</x:f>
        <x:v>65.15</x:v>
      </x:c>
      <x:c r="K54" s="22" t="n">
        <x:f>IF(F54="Eligible",H54*0.5+I54*0.3+J54*0.2,"")</x:f>
        <x:v>63.238749999999996</x:v>
      </x:c>
      <x:c r="L54" s="22" t="n">
        <x:f>IF(F54&lt;&gt;"Eligible","",1+COUNTIFS($F$44:$F$57,"Eligible",$K$44:$K$57,"&gt;"&amp;K54))</x:f>
        <x:v>9</x:v>
      </x:c>
      <x:c r="M54" s="22" t="str">
        <x:f>IF(K54="","",IF(K54&gt;=85,"Excellent Match",IF(K54&gt;=75,"Strong Match",IF(K54&gt;=65,"Good Match",IF(K54&gt;=55,"Moderate Match","Weak Match")))))</x:f>
        <x:v>Moderate Match</x:v>
      </x:c>
      <x:c r="N54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5">
      <x:c r="A55" s="12" t="str">
        <x:f>Student_Test_Profiles!A5</x:f>
        <x:v>TEST-D</x:v>
      </x:c>
      <x:c r="B55" s="12" t="str">
        <x:f>Student_Test_Profiles!B5</x:f>
        <x:v>Engineering and Hardware Student</x:v>
      </x:c>
      <x:c r="C55" s="12" t="str">
        <x:f>Program_Master!A13</x:f>
        <x:v>SIBAU-BEEE</x:v>
      </x:c>
      <x:c r="D55" s="12" t="str">
        <x:f>Program_Master!B13</x:f>
        <x:v>BE Electrical Engineering</x:v>
      </x:c>
      <x:c r="E55" s="12" t="str">
        <x:f>Program_Master!C13</x:f>
        <x:v>Engineering</x:v>
      </x:c>
      <x:c r="F55" s="12" t="str">
        <x:f>IF(Student_Test_Profiles!$AF$5&lt;Program_Master!$H$13,"Not Eligible",IF(C55="SIBAU-BEEE",IF(AND(Student_Test_Profiles!$C$5="Pre-Engineering",Student_Test_Profiles!$F$5&gt;=Program_Master!$G$13,Student_Test_Profiles!$G$5&gt;=Program_Master!$G$13),"Eligible","Not Eligible"),IF(C55="SIBAU-BECSE",IF(AND(OR(Student_Test_Profiles!$C$5="Pre-Engineering",Student_Test_Profiles!$C$5="ICS"),Student_Test_Profiles!$F$5&gt;=Program_Master!$G$13,OR(Student_Test_Profiles!$G$5&gt;=Program_Master!$G$13,Student_Test_Profiles!$H$5&gt;=Program_Master!$G$13)),"Eligible","Not Eligible"),"Eligible")))</x:f>
        <x:v>Eligible</x:v>
      </x:c>
      <x:c r="G55" s="12" t="str">
        <x:f>IF(F55="Eligible",IF(OR(C55="SIBAU-BEEE",C55="SIBAU-BECSE"),"Meets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restricted engineering eligibility rules.</x:v>
      </x:c>
      <x:c r="H55" s="22" t="n">
        <x:f>IFERROR(SUMPRODUCT(Student_Test_Profiles!$F$5:$N$5,Program_Master!$I$13:$Q$13)/SUMPRODUCT(--(Student_Test_Profiles!$F$5:$N$5&lt;&gt;""),Program_Master!$I$13:$Q$13),"")</x:f>
        <x:v>82.4</x:v>
      </x:c>
      <x:c r="I55" s="22" t="n">
        <x:f>SUMPRODUCT(Student_Test_Profiles!$O$5:$Y$5,Program_Master!$X$13:$AH$13)/100</x:f>
        <x:v>86.3</x:v>
      </x:c>
      <x:c r="J55" s="22" t="n">
        <x:f>SUMPRODUCT(Student_Test_Profiles!$Z$5:$AE$5,Program_Master!$R$13:$W$13)/100</x:f>
        <x:v>84.05</x:v>
      </x:c>
      <x:c r="K55" s="22" t="n">
        <x:f>IF(F55="Eligible",H55*0.5+I55*0.3+J55*0.2,"")</x:f>
        <x:v>83.9</x:v>
      </x:c>
      <x:c r="L55" s="22" t="n">
        <x:f>IF(F55&lt;&gt;"Eligible","",1+COUNTIFS($F$44:$F$57,"Eligible",$K$44:$K$57,"&gt;"&amp;K55))</x:f>
        <x:v>1</x:v>
      </x:c>
      <x:c r="M55" s="22" t="str">
        <x:f>IF(K55="","",IF(K55&gt;=85,"Excellent Match",IF(K55&gt;=75,"Strong Match",IF(K55&gt;=65,"Good Match",IF(K55&gt;=55,"Moderate Match","Weak Match")))))</x:f>
        <x:v>Strong Match</x:v>
      </x:c>
      <x:c r="N55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6">
      <x:c r="A56" s="12" t="str">
        <x:f>Student_Test_Profiles!A5</x:f>
        <x:v>TEST-D</x:v>
      </x:c>
      <x:c r="B56" s="12" t="str">
        <x:f>Student_Test_Profiles!B5</x:f>
        <x:v>Engineering and Hardware Student</x:v>
      </x:c>
      <x:c r="C56" s="12" t="str">
        <x:f>Program_Master!A14</x:f>
        <x:v>SIBAU-BECSE</x:v>
      </x:c>
      <x:c r="D56" s="12" t="str">
        <x:f>Program_Master!B14</x:f>
        <x:v>BE Computer Systems Engineering</x:v>
      </x:c>
      <x:c r="E56" s="12" t="str">
        <x:f>Program_Master!C14</x:f>
        <x:v>Engineering &amp; Computing</x:v>
      </x:c>
      <x:c r="F56" s="12" t="str">
        <x:f>IF(Student_Test_Profiles!$AF$5&lt;Program_Master!$H$14,"Not Eligible",IF(C56="SIBAU-BEEE",IF(AND(Student_Test_Profiles!$C$5="Pre-Engineering",Student_Test_Profiles!$F$5&gt;=Program_Master!$G$14,Student_Test_Profiles!$G$5&gt;=Program_Master!$G$14),"Eligible","Not Eligible"),IF(C56="SIBAU-BECSE",IF(AND(OR(Student_Test_Profiles!$C$5="Pre-Engineering",Student_Test_Profiles!$C$5="ICS"),Student_Test_Profiles!$F$5&gt;=Program_Master!$G$14,OR(Student_Test_Profiles!$G$5&gt;=Program_Master!$G$14,Student_Test_Profiles!$H$5&gt;=Program_Master!$G$14)),"Eligible","Not Eligible"),"Eligible")))</x:f>
        <x:v>Eligible</x:v>
      </x:c>
      <x:c r="G56" s="12" t="str">
        <x:f>IF(F56="Eligible",IF(OR(C56="SIBAU-BEEE",C56="SIBAU-BECSE"),"Meets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restricted engineering eligibility rules.</x:v>
      </x:c>
      <x:c r="H56" s="22" t="n">
        <x:f>IFERROR(SUMPRODUCT(Student_Test_Profiles!$F$5:$N$5,Program_Master!$I$14:$Q$14)/SUMPRODUCT(--(Student_Test_Profiles!$F$5:$N$5&lt;&gt;""),Program_Master!$I$14:$Q$14),"")</x:f>
        <x:v>79.8</x:v>
      </x:c>
      <x:c r="I56" s="22" t="n">
        <x:f>SUMPRODUCT(Student_Test_Profiles!$O$5:$Y$5,Program_Master!$X$14:$AH$14)/100</x:f>
        <x:v>79.15</x:v>
      </x:c>
      <x:c r="J56" s="22" t="n">
        <x:f>SUMPRODUCT(Student_Test_Profiles!$Z$5:$AE$5,Program_Master!$R$14:$W$14)/100</x:f>
        <x:v>83.65</x:v>
      </x:c>
      <x:c r="K56" s="22" t="n">
        <x:f>IF(F56="Eligible",H56*0.5+I56*0.3+J56*0.2,"")</x:f>
        <x:v>80.375</x:v>
      </x:c>
      <x:c r="L56" s="22" t="n">
        <x:f>IF(F56&lt;&gt;"Eligible","",1+COUNTIFS($F$44:$F$57,"Eligible",$K$44:$K$57,"&gt;"&amp;K56))</x:f>
        <x:v>3</x:v>
      </x:c>
      <x:c r="M56" s="22" t="str">
        <x:f>IF(K56="","",IF(K56&gt;=85,"Excellent Match",IF(K56&gt;=75,"Strong Match",IF(K56&gt;=65,"Good Match",IF(K56&gt;=55,"Moderate Match","Weak Match")))))</x:f>
        <x:v>Strong Match</x:v>
      </x:c>
      <x:c r="N56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7">
      <x:c r="A57" s="12" t="str">
        <x:f>Student_Test_Profiles!A5</x:f>
        <x:v>TEST-D</x:v>
      </x:c>
      <x:c r="B57" s="12" t="str">
        <x:f>Student_Test_Profiles!B5</x:f>
        <x:v>Engineering and Hardware Student</x:v>
      </x:c>
      <x:c r="C57" s="12" t="str">
        <x:f>Program_Master!A15</x:f>
        <x:v>SIBAU-BEDH</x:v>
      </x:c>
      <x:c r="D57" s="12" t="str">
        <x:f>Program_Master!B15</x:f>
        <x:v>B.Ed (Hons)</x:v>
      </x:c>
      <x:c r="E57" s="12" t="str">
        <x:f>Program_Master!C15</x:f>
        <x:v>Education</x:v>
      </x:c>
      <x:c r="F57" s="12" t="str">
        <x:f>IF(Student_Test_Profiles!$AF$5&lt;Program_Master!$H$15,"Not Eligible",IF(C57="SIBAU-BEEE",IF(AND(Student_Test_Profiles!$C$5="Pre-Engineering",Student_Test_Profiles!$F$5&gt;=Program_Master!$G$15,Student_Test_Profiles!$G$5&gt;=Program_Master!$G$15),"Eligible","Not Eligible"),IF(C57="SIBAU-BECSE",IF(AND(OR(Student_Test_Profiles!$C$5="Pre-Engineering",Student_Test_Profiles!$C$5="ICS"),Student_Test_Profiles!$F$5&gt;=Program_Master!$G$15,OR(Student_Test_Profiles!$G$5&gt;=Program_Master!$G$15,Student_Test_Profiles!$H$5&gt;=Program_Master!$G$15)),"Eligible","Not Eligible"),"Eligible")))</x:f>
        <x:v>Eligible</x:v>
      </x:c>
      <x:c r="G57" s="12" t="str">
        <x:f>IF(F57="Eligible",IF(OR(C57="SIBAU-BEEE",C57="SIBAU-BECSE"),"Meets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7" s="22" t="n">
        <x:f>IFERROR(SUMPRODUCT(Student_Test_Profiles!$F$5:$N$5,Program_Master!$I$15:$Q$15)/SUMPRODUCT(--(Student_Test_Profiles!$F$5:$N$5&lt;&gt;""),Program_Master!$I$15:$Q$15),"")</x:f>
        <x:v>70.42105263157895</x:v>
      </x:c>
      <x:c r="I57" s="22" t="n">
        <x:f>SUMPRODUCT(Student_Test_Profiles!$O$5:$Y$5,Program_Master!$X$15:$AH$15)/100</x:f>
        <x:v>42.7</x:v>
      </x:c>
      <x:c r="J57" s="22" t="n">
        <x:f>SUMPRODUCT(Student_Test_Profiles!$Z$5:$AE$5,Program_Master!$R$15:$W$15)/100</x:f>
        <x:v>60.1</x:v>
      </x:c>
      <x:c r="K57" s="22" t="n">
        <x:f>IF(F57="Eligible",H57*0.5+I57*0.3+J57*0.2,"")</x:f>
        <x:v>60.04052631578948</x:v>
      </x:c>
      <x:c r="L57" s="22" t="n">
        <x:f>IF(F57&lt;&gt;"Eligible","",1+COUNTIFS($F$44:$F$57,"Eligible",$K$44:$K$57,"&gt;"&amp;K57))</x:f>
        <x:v>13</x:v>
      </x:c>
      <x:c r="M57" s="22" t="str">
        <x:f>IF(K57="","",IF(K57&gt;=85,"Excellent Match",IF(K57&gt;=75,"Strong Match",IF(K57&gt;=65,"Good Match",IF(K57&gt;=55,"Moderate Match","Weak Match")))))</x:f>
        <x:v>Moderate Match</x:v>
      </x:c>
      <x:c r="N57" s="12" t="str">
        <x:f>IF(Student_Test_Profiles!$A$5="TEST-B","Biology/health profile has no close clinical program at SIBAU; treat results as alternatives.",IF(Student_Test_Profiles!$A$5="TEST-E","Computing interest is high, but Mathematics eligibility requires verification.",IF(Student_Test_Profiles!$A$5="TEST-F","No dominant pattern; recommendation confidence should remain low.","Marks, interests and aptitude should be checked for alignment.")))</x:f>
        <x:v>Marks, interests and aptitude should be checked for alignment.</x:v>
      </x:c>
    </x:row>
    <x:row r="58">
      <x:c r="A58" s="12" t="str">
        <x:f>Student_Test_Profiles!A6</x:f>
        <x:v>TEST-E</x:v>
      </x:c>
      <x:c r="B58" s="12" t="str">
        <x:f>Student_Test_Profiles!B6</x:f>
        <x:v>Pre-Medical Student with Strong Computing Interest</x:v>
      </x:c>
      <x:c r="C58" s="12" t="str">
        <x:f>Program_Master!A2</x:f>
        <x:v>SIBAU-BBA</x:v>
      </x:c>
      <x:c r="D58" s="12" t="str">
        <x:f>Program_Master!B2</x:f>
        <x:v>Bachelor of Business Administration (BBA)</x:v>
      </x:c>
      <x:c r="E58" s="12" t="str">
        <x:f>Program_Master!C2</x:f>
        <x:v>Business &amp; Management</x:v>
      </x:c>
      <x:c r="F58" s="12" t="str">
        <x:f>IF(Student_Test_Profiles!$AF$6&lt;Program_Master!$H$2,"Not Eligible",IF(C58="SIBAU-BEEE",IF(AND(Student_Test_Profiles!$C$6="Pre-Engineering",Student_Test_Profiles!$F$6&gt;=Program_Master!$G$2,Student_Test_Profiles!$G$6&gt;=Program_Master!$G$2),"Eligible","Not Eligible"),IF(C58="SIBAU-BECSE",IF(AND(OR(Student_Test_Profiles!$C$6="Pre-Engineering",Student_Test_Profiles!$C$6="ICS"),Student_Test_Profiles!$F$6&gt;=Program_Master!$G$2,OR(Student_Test_Profiles!$G$6&gt;=Program_Master!$G$2,Student_Test_Profiles!$H$6&gt;=Program_Master!$G$2)),"Eligible","Not Eligible"),"Eligible")))</x:f>
        <x:v>Eligible</x:v>
      </x:c>
      <x:c r="G58" s="12" t="str">
        <x:f>IF(F58="Eligible",IF(OR(C58="SIBAU-BEEE",C58="SIBAU-BECSE"),"Meets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8" s="22" t="n">
        <x:f>IFERROR(SUMPRODUCT(Student_Test_Profiles!$F$6:$N$6,Program_Master!$I$2:$Q$2)/SUMPRODUCT(--(Student_Test_Profiles!$F$6:$N$6&lt;&gt;""),Program_Master!$I$2:$Q$2),"")</x:f>
        <x:v>70.66666666666667</x:v>
      </x:c>
      <x:c r="I58" s="22" t="n">
        <x:f>SUMPRODUCT(Student_Test_Profiles!$O$6:$Y$6,Program_Master!$X$2:$AH$2)/100</x:f>
        <x:v>36.85</x:v>
      </x:c>
      <x:c r="J58" s="22" t="n">
        <x:f>SUMPRODUCT(Student_Test_Profiles!$Z$6:$AE$6,Program_Master!$R$2:$W$2)/100</x:f>
        <x:v>69.8</x:v>
      </x:c>
      <x:c r="K58" s="22" t="n">
        <x:f>IF(F58="Eligible",H58*0.5+I58*0.3+J58*0.2,"")</x:f>
        <x:v>60.348333333333336</x:v>
      </x:c>
      <x:c r="L58" s="22" t="n">
        <x:f>IF(F58&lt;&gt;"Eligible","",1+COUNTIFS($F$58:$F$71,"Eligible",$K$58:$K$71,"&gt;"&amp;K58))</x:f>
        <x:v>10</x:v>
      </x:c>
      <x:c r="M58" s="22" t="str">
        <x:f>IF(K58="","",IF(K58&gt;=85,"Excellent Match",IF(K58&gt;=75,"Strong Match",IF(K58&gt;=65,"Good Match",IF(K58&gt;=55,"Moderate Match","Weak Match")))))</x:f>
        <x:v>Moderate Match</x:v>
      </x:c>
      <x:c r="N58" s="12" t="str">
        <x:f>IF(A58="TEST-E","Pre-Medical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59">
      <x:c r="A59" s="12" t="str">
        <x:f>Student_Test_Profiles!A6</x:f>
        <x:v>TEST-E</x:v>
      </x:c>
      <x:c r="B59" s="12" t="str">
        <x:f>Student_Test_Profiles!B6</x:f>
        <x:v>Pre-Medical Student with Strong Computing Interest</x:v>
      </x:c>
      <x:c r="C59" s="12" t="str">
        <x:f>Program_Master!A3</x:f>
        <x:v>SIBAU-BBA-AGRI</x:v>
      </x:c>
      <x:c r="D59" s="12" t="str">
        <x:f>Program_Master!B3</x:f>
        <x:v>BBA (Agribusiness)</x:v>
      </x:c>
      <x:c r="E59" s="12" t="str">
        <x:f>Program_Master!C3</x:f>
        <x:v>Business &amp; Agriculture</x:v>
      </x:c>
      <x:c r="F59" s="12" t="str">
        <x:f>IF(Student_Test_Profiles!$AF$6&lt;Program_Master!$H$3,"Not Eligible",IF(C59="SIBAU-BEEE",IF(AND(Student_Test_Profiles!$C$6="Pre-Engineering",Student_Test_Profiles!$F$6&gt;=Program_Master!$G$3,Student_Test_Profiles!$G$6&gt;=Program_Master!$G$3),"Eligible","Not Eligible"),IF(C59="SIBAU-BECSE",IF(AND(OR(Student_Test_Profiles!$C$6="Pre-Engineering",Student_Test_Profiles!$C$6="ICS"),Student_Test_Profiles!$F$6&gt;=Program_Master!$G$3,OR(Student_Test_Profiles!$G$6&gt;=Program_Master!$G$3,Student_Test_Profiles!$H$6&gt;=Program_Master!$G$3)),"Eligible","Not Eligible"),"Eligible")))</x:f>
        <x:v>Eligible</x:v>
      </x:c>
      <x:c r="G59" s="12" t="str">
        <x:f>IF(F59="Eligible",IF(OR(C59="SIBAU-BEEE",C59="SIBAU-BECSE"),"Meets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59" s="22" t="n">
        <x:f>IFERROR(SUMPRODUCT(Student_Test_Profiles!$F$6:$N$6,Program_Master!$I$3:$Q$3)/SUMPRODUCT(--(Student_Test_Profiles!$F$6:$N$6&lt;&gt;""),Program_Master!$I$3:$Q$3),"")</x:f>
        <x:v>73.33333333333333</x:v>
      </x:c>
      <x:c r="I59" s="22" t="n">
        <x:f>SUMPRODUCT(Student_Test_Profiles!$O$6:$Y$6,Program_Master!$X$3:$AH$3)/100</x:f>
        <x:v>36.5</x:v>
      </x:c>
      <x:c r="J59" s="22" t="n">
        <x:f>SUMPRODUCT(Student_Test_Profiles!$Z$6:$AE$6,Program_Master!$R$3:$W$3)/100</x:f>
        <x:v>68.8</x:v>
      </x:c>
      <x:c r="K59" s="22" t="n">
        <x:f>IF(F59="Eligible",H59*0.5+I59*0.3+J59*0.2,"")</x:f>
        <x:v>61.37666666666666</x:v>
      </x:c>
      <x:c r="L59" s="22" t="n">
        <x:f>IF(F59&lt;&gt;"Eligible","",1+COUNTIFS($F$58:$F$71,"Eligible",$K$58:$K$71,"&gt;"&amp;K59))</x:f>
        <x:v>8</x:v>
      </x:c>
      <x:c r="M59" s="22" t="str">
        <x:f>IF(K59="","",IF(K59&gt;=85,"Excellent Match",IF(K59&gt;=75,"Strong Match",IF(K59&gt;=65,"Good Match",IF(K59&gt;=55,"Moderate Match","Weak Match")))))</x:f>
        <x:v>Moderate Match</x:v>
      </x:c>
      <x:c r="N59" s="12" t="str">
        <x:f>IF(A59="TEST-E","Pre-Medical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0">
      <x:c r="A60" s="12" t="str">
        <x:f>Student_Test_Profiles!A6</x:f>
        <x:v>TEST-E</x:v>
      </x:c>
      <x:c r="B60" s="12" t="str">
        <x:f>Student_Test_Profiles!B6</x:f>
        <x:v>Pre-Medical Student with Strong Computing Interest</x:v>
      </x:c>
      <x:c r="C60" s="12" t="str">
        <x:f>Program_Master!A4</x:f>
        <x:v>SIBAU-BSCS</x:v>
      </x:c>
      <x:c r="D60" s="12" t="str">
        <x:f>Program_Master!B4</x:f>
        <x:v>BS Computer Science</x:v>
      </x:c>
      <x:c r="E60" s="12" t="str">
        <x:f>Program_Master!C4</x:f>
        <x:v>Computing</x:v>
      </x:c>
      <x:c r="F60" s="12" t="str">
        <x:f>IF(Student_Test_Profiles!$AF$6&lt;Program_Master!$H$4,"Not Eligible",IF(C60="SIBAU-BEEE",IF(AND(Student_Test_Profiles!$C$6="Pre-Engineering",Student_Test_Profiles!$F$6&gt;=Program_Master!$G$4,Student_Test_Profiles!$G$6&gt;=Program_Master!$G$4),"Eligible","Not Eligible"),IF(C60="SIBAU-BECSE",IF(AND(OR(Student_Test_Profiles!$C$6="Pre-Engineering",Student_Test_Profiles!$C$6="ICS"),Student_Test_Profiles!$F$6&gt;=Program_Master!$G$4,OR(Student_Test_Profiles!$G$6&gt;=Program_Master!$G$4,Student_Test_Profiles!$H$6&gt;=Program_Master!$G$4)),"Eligible","Not Eligible"),"Eligible")))</x:f>
        <x:v>Eligible</x:v>
      </x:c>
      <x:c r="G60" s="12" t="str">
        <x:f>IF(F60="Eligible",IF(OR(C60="SIBAU-BEEE",C60="SIBAU-BECSE"),"Meets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0" s="22" t="n">
        <x:f>IFERROR(SUMPRODUCT(Student_Test_Profiles!$F$6:$N$6,Program_Master!$I$4:$Q$4)/SUMPRODUCT(--(Student_Test_Profiles!$F$6:$N$6&lt;&gt;""),Program_Master!$I$4:$Q$4),"")</x:f>
        <x:v>78.92307692307692</x:v>
      </x:c>
      <x:c r="I60" s="22" t="n">
        <x:f>SUMPRODUCT(Student_Test_Profiles!$O$6:$Y$6,Program_Master!$X$4:$AH$4)/100</x:f>
        <x:v>92.35</x:v>
      </x:c>
      <x:c r="J60" s="22" t="n">
        <x:f>SUMPRODUCT(Student_Test_Profiles!$Z$6:$AE$6,Program_Master!$R$4:$W$4)/100</x:f>
        <x:v>79</x:v>
      </x:c>
      <x:c r="K60" s="22" t="n">
        <x:f>IF(F60="Eligible",H60*0.5+I60*0.3+J60*0.2,"")</x:f>
        <x:v>82.96653846153846</x:v>
      </x:c>
      <x:c r="L60" s="22" t="n">
        <x:f>IF(F60&lt;&gt;"Eligible","",1+COUNTIFS($F$58:$F$71,"Eligible",$K$58:$K$71,"&gt;"&amp;K60))</x:f>
        <x:v>1</x:v>
      </x:c>
      <x:c r="M60" s="22" t="str">
        <x:f>IF(K60="","",IF(K60&gt;=85,"Excellent Match",IF(K60&gt;=75,"Strong Match",IF(K60&gt;=65,"Good Match",IF(K60&gt;=55,"Moderate Match","Weak Match")))))</x:f>
        <x:v>Strong Match</x:v>
      </x:c>
      <x:c r="N60" s="12" t="str">
        <x:f>IF(A60="TEST-E","Pre-Medical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1">
      <x:c r="A61" s="12" t="str">
        <x:f>Student_Test_Profiles!A6</x:f>
        <x:v>TEST-E</x:v>
      </x:c>
      <x:c r="B61" s="12" t="str">
        <x:f>Student_Test_Profiles!B6</x:f>
        <x:v>Pre-Medical Student with Strong Computing Interest</x:v>
      </x:c>
      <x:c r="C61" s="12" t="str">
        <x:f>Program_Master!A5</x:f>
        <x:v>SIBAU-BSSE</x:v>
      </x:c>
      <x:c r="D61" s="12" t="str">
        <x:f>Program_Master!B5</x:f>
        <x:v>BS Software Engineering</x:v>
      </x:c>
      <x:c r="E61" s="12" t="str">
        <x:f>Program_Master!C5</x:f>
        <x:v>Computing</x:v>
      </x:c>
      <x:c r="F61" s="12" t="str">
        <x:f>IF(Student_Test_Profiles!$AF$6&lt;Program_Master!$H$5,"Not Eligible",IF(C61="SIBAU-BEEE",IF(AND(Student_Test_Profiles!$C$6="Pre-Engineering",Student_Test_Profiles!$F$6&gt;=Program_Master!$G$5,Student_Test_Profiles!$G$6&gt;=Program_Master!$G$5),"Eligible","Not Eligible"),IF(C61="SIBAU-BECSE",IF(AND(OR(Student_Test_Profiles!$C$6="Pre-Engineering",Student_Test_Profiles!$C$6="ICS"),Student_Test_Profiles!$F$6&gt;=Program_Master!$G$5,OR(Student_Test_Profiles!$G$6&gt;=Program_Master!$G$5,Student_Test_Profiles!$H$6&gt;=Program_Master!$G$5)),"Eligible","Not Eligible"),"Eligible")))</x:f>
        <x:v>Eligible</x:v>
      </x:c>
      <x:c r="G61" s="12" t="str">
        <x:f>IF(F61="Eligible",IF(OR(C61="SIBAU-BEEE",C61="SIBAU-BECSE"),"Meets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1" s="22" t="n">
        <x:f>IFERROR(SUMPRODUCT(Student_Test_Profiles!$F$6:$N$6,Program_Master!$I$5:$Q$5)/SUMPRODUCT(--(Student_Test_Profiles!$F$6:$N$6&lt;&gt;""),Program_Master!$I$5:$Q$5),"")</x:f>
        <x:v>77.71428571428571</x:v>
      </x:c>
      <x:c r="I61" s="22" t="n">
        <x:f>SUMPRODUCT(Student_Test_Profiles!$O$6:$Y$6,Program_Master!$X$5:$AH$5)/100</x:f>
        <x:v>92.5</x:v>
      </x:c>
      <x:c r="J61" s="22" t="n">
        <x:f>SUMPRODUCT(Student_Test_Profiles!$Z$6:$AE$6,Program_Master!$R$5:$W$5)/100</x:f>
        <x:v>76.4</x:v>
      </x:c>
      <x:c r="K61" s="22" t="n">
        <x:f>IF(F61="Eligible",H61*0.5+I61*0.3+J61*0.2,"")</x:f>
        <x:v>81.88714285714286</x:v>
      </x:c>
      <x:c r="L61" s="22" t="n">
        <x:f>IF(F61&lt;&gt;"Eligible","",1+COUNTIFS($F$58:$F$71,"Eligible",$K$58:$K$71,"&gt;"&amp;K61))</x:f>
        <x:v>3</x:v>
      </x:c>
      <x:c r="M61" s="22" t="str">
        <x:f>IF(K61="","",IF(K61&gt;=85,"Excellent Match",IF(K61&gt;=75,"Strong Match",IF(K61&gt;=65,"Good Match",IF(K61&gt;=55,"Moderate Match","Weak Match")))))</x:f>
        <x:v>Strong Match</x:v>
      </x:c>
      <x:c r="N61" s="12" t="str">
        <x:f>IF(A61="TEST-E","Pre-Medical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2">
      <x:c r="A62" s="12" t="str">
        <x:f>Student_Test_Profiles!A6</x:f>
        <x:v>TEST-E</x:v>
      </x:c>
      <x:c r="B62" s="12" t="str">
        <x:f>Student_Test_Profiles!B6</x:f>
        <x:v>Pre-Medical Student with Strong Computing Interest</x:v>
      </x:c>
      <x:c r="C62" s="12" t="str">
        <x:f>Program_Master!A6</x:f>
        <x:v>SIBAU-BSAI</x:v>
      </x:c>
      <x:c r="D62" s="12" t="str">
        <x:f>Program_Master!B6</x:f>
        <x:v>BS Artificial Intelligence</x:v>
      </x:c>
      <x:c r="E62" s="12" t="str">
        <x:f>Program_Master!C6</x:f>
        <x:v>Computing &amp; AI</x:v>
      </x:c>
      <x:c r="F62" s="12" t="str">
        <x:f>IF(Student_Test_Profiles!$AF$6&lt;Program_Master!$H$6,"Not Eligible",IF(C62="SIBAU-BEEE",IF(AND(Student_Test_Profiles!$C$6="Pre-Engineering",Student_Test_Profiles!$F$6&gt;=Program_Master!$G$6,Student_Test_Profiles!$G$6&gt;=Program_Master!$G$6),"Eligible","Not Eligible"),IF(C62="SIBAU-BECSE",IF(AND(OR(Student_Test_Profiles!$C$6="Pre-Engineering",Student_Test_Profiles!$C$6="ICS"),Student_Test_Profiles!$F$6&gt;=Program_Master!$G$6,OR(Student_Test_Profiles!$G$6&gt;=Program_Master!$G$6,Student_Test_Profiles!$H$6&gt;=Program_Master!$G$6)),"Eligible","Not Eligible"),"Eligible")))</x:f>
        <x:v>Eligible</x:v>
      </x:c>
      <x:c r="G62" s="12" t="str">
        <x:f>IF(F62="Eligible",IF(OR(C62="SIBAU-BEEE",C62="SIBAU-BECSE"),"Meets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2" s="22" t="n">
        <x:f>IFERROR(SUMPRODUCT(Student_Test_Profiles!$F$6:$N$6,Program_Master!$I$6:$Q$6)/SUMPRODUCT(--(Student_Test_Profiles!$F$6:$N$6&lt;&gt;""),Program_Master!$I$6:$Q$6),"")</x:f>
        <x:v>78.0909090909091</x:v>
      </x:c>
      <x:c r="I62" s="22" t="n">
        <x:f>SUMPRODUCT(Student_Test_Profiles!$O$6:$Y$6,Program_Master!$X$6:$AH$6)/100</x:f>
        <x:v>91.95</x:v>
      </x:c>
      <x:c r="J62" s="22" t="n">
        <x:f>SUMPRODUCT(Student_Test_Profiles!$Z$6:$AE$6,Program_Master!$R$6:$W$6)/100</x:f>
        <x:v>79.6</x:v>
      </x:c>
      <x:c r="K62" s="22" t="n">
        <x:f>IF(F62="Eligible",H62*0.5+I62*0.3+J62*0.2,"")</x:f>
        <x:v>82.55045454545454</x:v>
      </x:c>
      <x:c r="L62" s="22" t="n">
        <x:f>IF(F62&lt;&gt;"Eligible","",1+COUNTIFS($F$58:$F$71,"Eligible",$K$58:$K$71,"&gt;"&amp;K62))</x:f>
        <x:v>2</x:v>
      </x:c>
      <x:c r="M62" s="22" t="str">
        <x:f>IF(K62="","",IF(K62&gt;=85,"Excellent Match",IF(K62&gt;=75,"Strong Match",IF(K62&gt;=65,"Good Match",IF(K62&gt;=55,"Moderate Match","Weak Match")))))</x:f>
        <x:v>Strong Match</x:v>
      </x:c>
      <x:c r="N62" s="12" t="str">
        <x:f>IF(A62="TEST-E","Pre-Medical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3">
      <x:c r="A63" s="12" t="str">
        <x:f>Student_Test_Profiles!A6</x:f>
        <x:v>TEST-E</x:v>
      </x:c>
      <x:c r="B63" s="12" t="str">
        <x:f>Student_Test_Profiles!B6</x:f>
        <x:v>Pre-Medical Student with Strong Computing Interest</x:v>
      </x:c>
      <x:c r="C63" s="12" t="str">
        <x:f>Program_Master!A7</x:f>
        <x:v>SIBAU-BSAF</x:v>
      </x:c>
      <x:c r="D63" s="12" t="str">
        <x:f>Program_Master!B7</x:f>
        <x:v>BS Accounting &amp; Finance</x:v>
      </x:c>
      <x:c r="E63" s="12" t="str">
        <x:f>Program_Master!C7</x:f>
        <x:v>Business &amp; Finance</x:v>
      </x:c>
      <x:c r="F63" s="12" t="str">
        <x:f>IF(Student_Test_Profiles!$AF$6&lt;Program_Master!$H$7,"Not Eligible",IF(C63="SIBAU-BEEE",IF(AND(Student_Test_Profiles!$C$6="Pre-Engineering",Student_Test_Profiles!$F$6&gt;=Program_Master!$G$7,Student_Test_Profiles!$G$6&gt;=Program_Master!$G$7),"Eligible","Not Eligible"),IF(C63="SIBAU-BECSE",IF(AND(OR(Student_Test_Profiles!$C$6="Pre-Engineering",Student_Test_Profiles!$C$6="ICS"),Student_Test_Profiles!$F$6&gt;=Program_Master!$G$7,OR(Student_Test_Profiles!$G$6&gt;=Program_Master!$G$7,Student_Test_Profiles!$H$6&gt;=Program_Master!$G$7)),"Eligible","Not Eligible"),"Eligible")))</x:f>
        <x:v>Eligible</x:v>
      </x:c>
      <x:c r="G63" s="12" t="str">
        <x:f>IF(F63="Eligible",IF(OR(C63="SIBAU-BEEE",C63="SIBAU-BECSE"),"Meets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3" s="22" t="n">
        <x:f>IFERROR(SUMPRODUCT(Student_Test_Profiles!$F$6:$N$6,Program_Master!$I$7:$Q$7)/SUMPRODUCT(--(Student_Test_Profiles!$F$6:$N$6&lt;&gt;""),Program_Master!$I$7:$Q$7),"")</x:f>
        <x:v>71.2</x:v>
      </x:c>
      <x:c r="I63" s="22" t="n">
        <x:f>SUMPRODUCT(Student_Test_Profiles!$O$6:$Y$6,Program_Master!$X$7:$AH$7)/100</x:f>
        <x:v>45</x:v>
      </x:c>
      <x:c r="J63" s="22" t="n">
        <x:f>SUMPRODUCT(Student_Test_Profiles!$Z$6:$AE$6,Program_Master!$R$7:$W$7)/100</x:f>
        <x:v>71.6</x:v>
      </x:c>
      <x:c r="K63" s="22" t="n">
        <x:f>IF(F63="Eligible",H63*0.5+I63*0.3+J63*0.2,"")</x:f>
        <x:v>63.42</x:v>
      </x:c>
      <x:c r="L63" s="22" t="n">
        <x:f>IF(F63&lt;&gt;"Eligible","",1+COUNTIFS($F$58:$F$71,"Eligible",$K$58:$K$71,"&gt;"&amp;K63))</x:f>
        <x:v>6</x:v>
      </x:c>
      <x:c r="M63" s="22" t="str">
        <x:f>IF(K63="","",IF(K63&gt;=85,"Excellent Match",IF(K63&gt;=75,"Strong Match",IF(K63&gt;=65,"Good Match",IF(K63&gt;=55,"Moderate Match","Weak Match")))))</x:f>
        <x:v>Moderate Match</x:v>
      </x:c>
      <x:c r="N63" s="12" t="str">
        <x:f>IF(A63="TEST-E","Pre-Medical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4">
      <x:c r="A64" s="12" t="str">
        <x:f>Student_Test_Profiles!A6</x:f>
        <x:v>TEST-E</x:v>
      </x:c>
      <x:c r="B64" s="12" t="str">
        <x:f>Student_Test_Profiles!B6</x:f>
        <x:v>Pre-Medical Student with Strong Computing Interest</x:v>
      </x:c>
      <x:c r="C64" s="12" t="str">
        <x:f>Program_Master!A8</x:f>
        <x:v>SIBAU-BSECO</x:v>
      </x:c>
      <x:c r="D64" s="12" t="str">
        <x:f>Program_Master!B8</x:f>
        <x:v>BS Economics</x:v>
      </x:c>
      <x:c r="E64" s="12" t="str">
        <x:f>Program_Master!C8</x:f>
        <x:v>Economics &amp; Social Science</x:v>
      </x:c>
      <x:c r="F64" s="12" t="str">
        <x:f>IF(Student_Test_Profiles!$AF$6&lt;Program_Master!$H$8,"Not Eligible",IF(C64="SIBAU-BEEE",IF(AND(Student_Test_Profiles!$C$6="Pre-Engineering",Student_Test_Profiles!$F$6&gt;=Program_Master!$G$8,Student_Test_Profiles!$G$6&gt;=Program_Master!$G$8),"Eligible","Not Eligible"),IF(C64="SIBAU-BECSE",IF(AND(OR(Student_Test_Profiles!$C$6="Pre-Engineering",Student_Test_Profiles!$C$6="ICS"),Student_Test_Profiles!$F$6&gt;=Program_Master!$G$8,OR(Student_Test_Profiles!$G$6&gt;=Program_Master!$G$8,Student_Test_Profiles!$H$6&gt;=Program_Master!$G$8)),"Eligible","Not Eligible"),"Eligible")))</x:f>
        <x:v>Eligible</x:v>
      </x:c>
      <x:c r="G64" s="12" t="str">
        <x:f>IF(F64="Eligible",IF(OR(C64="SIBAU-BEEE",C64="SIBAU-BECSE"),"Meets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4" s="22" t="n">
        <x:f>IFERROR(SUMPRODUCT(Student_Test_Profiles!$F$6:$N$6,Program_Master!$I$8:$Q$8)/SUMPRODUCT(--(Student_Test_Profiles!$F$6:$N$6&lt;&gt;""),Program_Master!$I$8:$Q$8),"")</x:f>
        <x:v>71</x:v>
      </x:c>
      <x:c r="I64" s="22" t="n">
        <x:f>SUMPRODUCT(Student_Test_Profiles!$O$6:$Y$6,Program_Master!$X$8:$AH$8)/100</x:f>
        <x:v>63.25</x:v>
      </x:c>
      <x:c r="J64" s="22" t="n">
        <x:f>SUMPRODUCT(Student_Test_Profiles!$Z$6:$AE$6,Program_Master!$R$8:$W$8)/100</x:f>
        <x:v>73</x:v>
      </x:c>
      <x:c r="K64" s="22" t="n">
        <x:f>IF(F64="Eligible",H64*0.5+I64*0.3+J64*0.2,"")</x:f>
        <x:v>69.07499999999999</x:v>
      </x:c>
      <x:c r="L64" s="22" t="n">
        <x:f>IF(F64&lt;&gt;"Eligible","",1+COUNTIFS($F$58:$F$71,"Eligible",$K$58:$K$71,"&gt;"&amp;K64))</x:f>
        <x:v>5</x:v>
      </x:c>
      <x:c r="M64" s="22" t="str">
        <x:f>IF(K64="","",IF(K64&gt;=85,"Excellent Match",IF(K64&gt;=75,"Strong Match",IF(K64&gt;=65,"Good Match",IF(K64&gt;=55,"Moderate Match","Weak Match")))))</x:f>
        <x:v>Good Match</x:v>
      </x:c>
      <x:c r="N64" s="12" t="str">
        <x:f>IF(A64="TEST-E","Pre-Medical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5">
      <x:c r="A65" s="12" t="str">
        <x:f>Student_Test_Profiles!A6</x:f>
        <x:v>TEST-E</x:v>
      </x:c>
      <x:c r="B65" s="12" t="str">
        <x:f>Student_Test_Profiles!B6</x:f>
        <x:v>Pre-Medical Student with Strong Computing Interest</x:v>
      </x:c>
      <x:c r="C65" s="12" t="str">
        <x:f>Program_Master!A9</x:f>
        <x:v>SIBAU-BSMATH</x:v>
      </x:c>
      <x:c r="D65" s="12" t="str">
        <x:f>Program_Master!B9</x:f>
        <x:v>BS Mathematics</x:v>
      </x:c>
      <x:c r="E65" s="12" t="str">
        <x:f>Program_Master!C9</x:f>
        <x:v>Mathematics &amp; Sciences</x:v>
      </x:c>
      <x:c r="F65" s="12" t="str">
        <x:f>IF(Student_Test_Profiles!$AF$6&lt;Program_Master!$H$9,"Not Eligible",IF(C65="SIBAU-BEEE",IF(AND(Student_Test_Profiles!$C$6="Pre-Engineering",Student_Test_Profiles!$F$6&gt;=Program_Master!$G$9,Student_Test_Profiles!$G$6&gt;=Program_Master!$G$9),"Eligible","Not Eligible"),IF(C65="SIBAU-BECSE",IF(AND(OR(Student_Test_Profiles!$C$6="Pre-Engineering",Student_Test_Profiles!$C$6="ICS"),Student_Test_Profiles!$F$6&gt;=Program_Master!$G$9,OR(Student_Test_Profiles!$G$6&gt;=Program_Master!$G$9,Student_Test_Profiles!$H$6&gt;=Program_Master!$G$9)),"Eligible","Not Eligible"),"Eligible")))</x:f>
        <x:v>Eligible</x:v>
      </x:c>
      <x:c r="G65" s="12" t="str">
        <x:f>IF(F65="Eligible",IF(OR(C65="SIBAU-BEEE",C65="SIBAU-BECSE"),"Meets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5" s="22" t="n">
        <x:f>IFERROR(SUMPRODUCT(Student_Test_Profiles!$F$6:$N$6,Program_Master!$I$9:$Q$9)/SUMPRODUCT(--(Student_Test_Profiles!$F$6:$N$6&lt;&gt;""),Program_Master!$I$9:$Q$9),"")</x:f>
        <x:v>77.11111111111111</x:v>
      </x:c>
      <x:c r="I65" s="22" t="n">
        <x:f>SUMPRODUCT(Student_Test_Profiles!$O$6:$Y$6,Program_Master!$X$9:$AH$9)/100</x:f>
        <x:v>82.95</x:v>
      </x:c>
      <x:c r="J65" s="22" t="n">
        <x:f>SUMPRODUCT(Student_Test_Profiles!$Z$6:$AE$6,Program_Master!$R$9:$W$9)/100</x:f>
        <x:v>81.7</x:v>
      </x:c>
      <x:c r="K65" s="22" t="n">
        <x:f>IF(F65="Eligible",H65*0.5+I65*0.3+J65*0.2,"")</x:f>
        <x:v>79.78055555555557</x:v>
      </x:c>
      <x:c r="L65" s="22" t="n">
        <x:f>IF(F65&lt;&gt;"Eligible","",1+COUNTIFS($F$58:$F$71,"Eligible",$K$58:$K$71,"&gt;"&amp;K65))</x:f>
        <x:v>4</x:v>
      </x:c>
      <x:c r="M65" s="22" t="str">
        <x:f>IF(K65="","",IF(K65&gt;=85,"Excellent Match",IF(K65&gt;=75,"Strong Match",IF(K65&gt;=65,"Good Match",IF(K65&gt;=55,"Moderate Match","Weak Match")))))</x:f>
        <x:v>Strong Match</x:v>
      </x:c>
      <x:c r="N65" s="12" t="str">
        <x:f>IF(A65="TEST-E","Pre-Medical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6">
      <x:c r="A66" s="12" t="str">
        <x:f>Student_Test_Profiles!A6</x:f>
        <x:v>TEST-E</x:v>
      </x:c>
      <x:c r="B66" s="12" t="str">
        <x:f>Student_Test_Profiles!B6</x:f>
        <x:v>Pre-Medical Student with Strong Computing Interest</x:v>
      </x:c>
      <x:c r="C66" s="12" t="str">
        <x:f>Program_Master!A10</x:f>
        <x:v>SIBAU-BSMC</x:v>
      </x:c>
      <x:c r="D66" s="12" t="str">
        <x:f>Program_Master!B10</x:f>
        <x:v>BS Media &amp; Communication</x:v>
      </x:c>
      <x:c r="E66" s="12" t="str">
        <x:f>Program_Master!C10</x:f>
        <x:v>Media &amp; Communication</x:v>
      </x:c>
      <x:c r="F66" s="12" t="str">
        <x:f>IF(Student_Test_Profiles!$AF$6&lt;Program_Master!$H$10,"Not Eligible",IF(C66="SIBAU-BEEE",IF(AND(Student_Test_Profiles!$C$6="Pre-Engineering",Student_Test_Profiles!$F$6&gt;=Program_Master!$G$10,Student_Test_Profiles!$G$6&gt;=Program_Master!$G$10),"Eligible","Not Eligible"),IF(C66="SIBAU-BECSE",IF(AND(OR(Student_Test_Profiles!$C$6="Pre-Engineering",Student_Test_Profiles!$C$6="ICS"),Student_Test_Profiles!$F$6&gt;=Program_Master!$G$10,OR(Student_Test_Profiles!$G$6&gt;=Program_Master!$G$10,Student_Test_Profiles!$H$6&gt;=Program_Master!$G$10)),"Eligible","Not Eligible"),"Eligible")))</x:f>
        <x:v>Eligible</x:v>
      </x:c>
      <x:c r="G66" s="12" t="str">
        <x:f>IF(F66="Eligible",IF(OR(C66="SIBAU-BEEE",C66="SIBAU-BECSE"),"Meets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6" s="22" t="n">
        <x:f>IFERROR(SUMPRODUCT(Student_Test_Profiles!$F$6:$N$6,Program_Master!$I$10:$Q$10)/SUMPRODUCT(--(Student_Test_Profiles!$F$6:$N$6&lt;&gt;""),Program_Master!$I$10:$Q$10),"")</x:f>
        <x:v>71.52631578947368</x:v>
      </x:c>
      <x:c r="I66" s="22" t="n">
        <x:f>SUMPRODUCT(Student_Test_Profiles!$O$6:$Y$6,Program_Master!$X$10:$AH$10)/100</x:f>
        <x:v>47.2</x:v>
      </x:c>
      <x:c r="J66" s="22" t="n">
        <x:f>SUMPRODUCT(Student_Test_Profiles!$Z$6:$AE$6,Program_Master!$R$10:$W$10)/100</x:f>
        <x:v>63.75</x:v>
      </x:c>
      <x:c r="K66" s="22" t="n">
        <x:f>IF(F66="Eligible",H66*0.5+I66*0.3+J66*0.2,"")</x:f>
        <x:v>62.673157894736846</x:v>
      </x:c>
      <x:c r="L66" s="22" t="n">
        <x:f>IF(F66&lt;&gt;"Eligible","",1+COUNTIFS($F$58:$F$71,"Eligible",$K$58:$K$71,"&gt;"&amp;K66))</x:f>
        <x:v>7</x:v>
      </x:c>
      <x:c r="M66" s="22" t="str">
        <x:f>IF(K66="","",IF(K66&gt;=85,"Excellent Match",IF(K66&gt;=75,"Strong Match",IF(K66&gt;=65,"Good Match",IF(K66&gt;=55,"Moderate Match","Weak Match")))))</x:f>
        <x:v>Moderate Match</x:v>
      </x:c>
      <x:c r="N66" s="12" t="str">
        <x:f>IF(A66="TEST-E","Pre-Medical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7">
      <x:c r="A67" s="12" t="str">
        <x:f>Student_Test_Profiles!A6</x:f>
        <x:v>TEST-E</x:v>
      </x:c>
      <x:c r="B67" s="12" t="str">
        <x:f>Student_Test_Profiles!B6</x:f>
        <x:v>Pre-Medical Student with Strong Computing Interest</x:v>
      </x:c>
      <x:c r="C67" s="12" t="str">
        <x:f>Program_Master!A11</x:f>
        <x:v>SIBAU-BSPESS</x:v>
      </x:c>
      <x:c r="D67" s="12" t="str">
        <x:f>Program_Master!B11</x:f>
        <x:v>BS Physical Education &amp; Sports Sciences</x:v>
      </x:c>
      <x:c r="E67" s="12" t="str">
        <x:f>Program_Master!C11</x:f>
        <x:v>Sports &amp; Health</x:v>
      </x:c>
      <x:c r="F67" s="12" t="str">
        <x:f>IF(Student_Test_Profiles!$AF$6&lt;Program_Master!$H$11,"Not Eligible",IF(C67="SIBAU-BEEE",IF(AND(Student_Test_Profiles!$C$6="Pre-Engineering",Student_Test_Profiles!$F$6&gt;=Program_Master!$G$11,Student_Test_Profiles!$G$6&gt;=Program_Master!$G$11),"Eligible","Not Eligible"),IF(C67="SIBAU-BECSE",IF(AND(OR(Student_Test_Profiles!$C$6="Pre-Engineering",Student_Test_Profiles!$C$6="ICS"),Student_Test_Profiles!$F$6&gt;=Program_Master!$G$11,OR(Student_Test_Profiles!$G$6&gt;=Program_Master!$G$11,Student_Test_Profiles!$H$6&gt;=Program_Master!$G$11)),"Eligible","Not Eligible"),"Eligible")))</x:f>
        <x:v>Eligible</x:v>
      </x:c>
      <x:c r="G67" s="12" t="str">
        <x:f>IF(F67="Eligible",IF(OR(C67="SIBAU-BEEE",C67="SIBAU-BECSE"),"Meets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7" s="22" t="n">
        <x:f>IFERROR(SUMPRODUCT(Student_Test_Profiles!$F$6:$N$6,Program_Master!$I$11:$Q$11)/SUMPRODUCT(--(Student_Test_Profiles!$F$6:$N$6&lt;&gt;""),Program_Master!$I$11:$Q$11),"")</x:f>
        <x:v>73.52631578947368</x:v>
      </x:c>
      <x:c r="I67" s="22" t="n">
        <x:f>SUMPRODUCT(Student_Test_Profiles!$O$6:$Y$6,Program_Master!$X$11:$AH$11)/100</x:f>
        <x:v>34.5</x:v>
      </x:c>
      <x:c r="J67" s="22" t="n">
        <x:f>SUMPRODUCT(Student_Test_Profiles!$Z$6:$AE$6,Program_Master!$R$11:$W$11)/100</x:f>
        <x:v>65.35</x:v>
      </x:c>
      <x:c r="K67" s="22" t="n">
        <x:f>IF(F67="Eligible",H67*0.5+I67*0.3+J67*0.2,"")</x:f>
        <x:v>60.183157894736844</x:v>
      </x:c>
      <x:c r="L67" s="22" t="n">
        <x:f>IF(F67&lt;&gt;"Eligible","",1+COUNTIFS($F$58:$F$71,"Eligible",$K$58:$K$71,"&gt;"&amp;K67))</x:f>
        <x:v>11</x:v>
      </x:c>
      <x:c r="M67" s="22" t="str">
        <x:f>IF(K67="","",IF(K67&gt;=85,"Excellent Match",IF(K67&gt;=75,"Strong Match",IF(K67&gt;=65,"Good Match",IF(K67&gt;=55,"Moderate Match","Weak Match")))))</x:f>
        <x:v>Moderate Match</x:v>
      </x:c>
      <x:c r="N67" s="12" t="str">
        <x:f>IF(A67="TEST-E","Pre-Medical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8">
      <x:c r="A68" s="12" t="str">
        <x:f>Student_Test_Profiles!A6</x:f>
        <x:v>TEST-E</x:v>
      </x:c>
      <x:c r="B68" s="12" t="str">
        <x:f>Student_Test_Profiles!B6</x:f>
        <x:v>Pre-Medical Student with Strong Computing Interest</x:v>
      </x:c>
      <x:c r="C68" s="12" t="str">
        <x:f>Program_Master!A12</x:f>
        <x:v>SIBAU-ADPESS</x:v>
      </x:c>
      <x:c r="D68" s="12" t="str">
        <x:f>Program_Master!B12</x:f>
        <x:v>Associate Degree in Physical Education &amp; Sports Sciences</x:v>
      </x:c>
      <x:c r="E68" s="12" t="str">
        <x:f>Program_Master!C12</x:f>
        <x:v>Sports &amp; Health</x:v>
      </x:c>
      <x:c r="F68" s="12" t="str">
        <x:f>IF(Student_Test_Profiles!$AF$6&lt;Program_Master!$H$12,"Not Eligible",IF(C68="SIBAU-BEEE",IF(AND(Student_Test_Profiles!$C$6="Pre-Engineering",Student_Test_Profiles!$F$6&gt;=Program_Master!$G$12,Student_Test_Profiles!$G$6&gt;=Program_Master!$G$12),"Eligible","Not Eligible"),IF(C68="SIBAU-BECSE",IF(AND(OR(Student_Test_Profiles!$C$6="Pre-Engineering",Student_Test_Profiles!$C$6="ICS"),Student_Test_Profiles!$F$6&gt;=Program_Master!$G$12,OR(Student_Test_Profiles!$G$6&gt;=Program_Master!$G$12,Student_Test_Profiles!$H$6&gt;=Program_Master!$G$12)),"Eligible","Not Eligible"),"Eligible")))</x:f>
        <x:v>Eligible</x:v>
      </x:c>
      <x:c r="G68" s="12" t="str">
        <x:f>IF(F68="Eligible",IF(OR(C68="SIBAU-BEEE",C68="SIBAU-BECSE"),"Meets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68" s="22" t="n">
        <x:f>IFERROR(SUMPRODUCT(Student_Test_Profiles!$F$6:$N$6,Program_Master!$I$12:$Q$12)/SUMPRODUCT(--(Student_Test_Profiles!$F$6:$N$6&lt;&gt;""),Program_Master!$I$12:$Q$12),"")</x:f>
        <x:v>73.52631578947368</x:v>
      </x:c>
      <x:c r="I68" s="22" t="n">
        <x:f>SUMPRODUCT(Student_Test_Profiles!$O$6:$Y$6,Program_Master!$X$12:$AH$12)/100</x:f>
        <x:v>34.5</x:v>
      </x:c>
      <x:c r="J68" s="22" t="n">
        <x:f>SUMPRODUCT(Student_Test_Profiles!$Z$6:$AE$6,Program_Master!$R$12:$W$12)/100</x:f>
        <x:v>65.35</x:v>
      </x:c>
      <x:c r="K68" s="22" t="n">
        <x:f>IF(F68="Eligible",H68*0.5+I68*0.3+J68*0.2,"")</x:f>
        <x:v>60.183157894736844</x:v>
      </x:c>
      <x:c r="L68" s="22" t="n">
        <x:f>IF(F68&lt;&gt;"Eligible","",1+COUNTIFS($F$58:$F$71,"Eligible",$K$58:$K$71,"&gt;"&amp;K68))</x:f>
        <x:v>11</x:v>
      </x:c>
      <x:c r="M68" s="22" t="str">
        <x:f>IF(K68="","",IF(K68&gt;=85,"Excellent Match",IF(K68&gt;=75,"Strong Match",IF(K68&gt;=65,"Good Match",IF(K68&gt;=55,"Moderate Match","Weak Match")))))</x:f>
        <x:v>Moderate Match</x:v>
      </x:c>
      <x:c r="N68" s="12" t="str">
        <x:f>IF(A68="TEST-E","Pre-Medical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69">
      <x:c r="A69" s="12" t="str">
        <x:f>Student_Test_Profiles!A6</x:f>
        <x:v>TEST-E</x:v>
      </x:c>
      <x:c r="B69" s="12" t="str">
        <x:f>Student_Test_Profiles!B6</x:f>
        <x:v>Pre-Medical Student with Strong Computing Interest</x:v>
      </x:c>
      <x:c r="C69" s="12" t="str">
        <x:f>Program_Master!A13</x:f>
        <x:v>SIBAU-BEEE</x:v>
      </x:c>
      <x:c r="D69" s="12" t="str">
        <x:f>Program_Master!B13</x:f>
        <x:v>BE Electrical Engineering</x:v>
      </x:c>
      <x:c r="E69" s="12" t="str">
        <x:f>Program_Master!C13</x:f>
        <x:v>Engineering</x:v>
      </x:c>
      <x:c r="F69" s="12" t="str">
        <x:f>IF(Student_Test_Profiles!$AF$6&lt;Program_Master!$H$13,"Not Eligible",IF(C69="SIBAU-BEEE",IF(AND(Student_Test_Profiles!$C$6="Pre-Engineering",Student_Test_Profiles!$F$6&gt;=Program_Master!$G$13,Student_Test_Profiles!$G$6&gt;=Program_Master!$G$13),"Eligible","Not Eligible"),IF(C69="SIBAU-BECSE",IF(AND(OR(Student_Test_Profiles!$C$6="Pre-Engineering",Student_Test_Profiles!$C$6="ICS"),Student_Test_Profiles!$F$6&gt;=Program_Master!$G$13,OR(Student_Test_Profiles!$G$6&gt;=Program_Master!$G$13,Student_Test_Profiles!$H$6&gt;=Program_Master!$G$13)),"Eligible","Not Eligible"),"Eligible")))</x:f>
        <x:v>Not Eligible</x:v>
      </x:c>
      <x:c r="G69" s="12" t="str">
        <x:f>IF(F69="Eligible",IF(OR(C69="SIBAU-BEEE",C69="SIBAU-BECSE"),"Meets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69" s="22" t="n">
        <x:f>IFERROR(SUMPRODUCT(Student_Test_Profiles!$F$6:$N$6,Program_Master!$I$13:$Q$13)/SUMPRODUCT(--(Student_Test_Profiles!$F$6:$N$6&lt;&gt;""),Program_Master!$I$13:$Q$13),"")</x:f>
        <x:v>78.76923076923077</x:v>
      </x:c>
      <x:c r="I69" s="22" t="n">
        <x:f>SUMPRODUCT(Student_Test_Profiles!$O$6:$Y$6,Program_Master!$X$13:$AH$13)/100</x:f>
        <x:v>70.4</x:v>
      </x:c>
      <x:c r="J69" s="22" t="n">
        <x:f>SUMPRODUCT(Student_Test_Profiles!$Z$6:$AE$6,Program_Master!$R$13:$W$13)/100</x:f>
        <x:v>78.75</x:v>
      </x:c>
      <x:c r="K69" s="22" t="str">
        <x:f>IF(F69="Eligible",H69*0.5+I69*0.3+J69*0.2,"")</x:f>
      </x:c>
      <x:c r="L69" s="22" t="str">
        <x:f>IF(F69&lt;&gt;"Eligible","",1+COUNTIFS($F$58:$F$71,"Eligible",$K$58:$K$71,"&gt;"&amp;K69))</x:f>
      </x:c>
      <x:c r="M69" s="22" t="str">
        <x:f>IF(K69="","",IF(K69&gt;=85,"Excellent Match",IF(K69&gt;=75,"Strong Match",IF(K69&gt;=65,"Good Match",IF(K69&gt;=55,"Moderate Match","Weak Match")))))</x:f>
      </x:c>
      <x:c r="N69" s="12" t="str">
        <x:f>IF(A69="TEST-E","Pre-Medical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70">
      <x:c r="A70" s="12" t="str">
        <x:f>Student_Test_Profiles!A6</x:f>
        <x:v>TEST-E</x:v>
      </x:c>
      <x:c r="B70" s="12" t="str">
        <x:f>Student_Test_Profiles!B6</x:f>
        <x:v>Pre-Medical Student with Strong Computing Interest</x:v>
      </x:c>
      <x:c r="C70" s="12" t="str">
        <x:f>Program_Master!A14</x:f>
        <x:v>SIBAU-BECSE</x:v>
      </x:c>
      <x:c r="D70" s="12" t="str">
        <x:f>Program_Master!B14</x:f>
        <x:v>BE Computer Systems Engineering</x:v>
      </x:c>
      <x:c r="E70" s="12" t="str">
        <x:f>Program_Master!C14</x:f>
        <x:v>Engineering &amp; Computing</x:v>
      </x:c>
      <x:c r="F70" s="12" t="str">
        <x:f>IF(Student_Test_Profiles!$AF$6&lt;Program_Master!$H$14,"Not Eligible",IF(C70="SIBAU-BEEE",IF(AND(Student_Test_Profiles!$C$6="Pre-Engineering",Student_Test_Profiles!$F$6&gt;=Program_Master!$G$14,Student_Test_Profiles!$G$6&gt;=Program_Master!$G$14),"Eligible","Not Eligible"),IF(C70="SIBAU-BECSE",IF(AND(OR(Student_Test_Profiles!$C$6="Pre-Engineering",Student_Test_Profiles!$C$6="ICS"),Student_Test_Profiles!$F$6&gt;=Program_Master!$G$14,OR(Student_Test_Profiles!$G$6&gt;=Program_Master!$G$14,Student_Test_Profiles!$H$6&gt;=Program_Master!$G$14)),"Eligible","Not Eligible"),"Eligible")))</x:f>
        <x:v>Not Eligible</x:v>
      </x:c>
      <x:c r="G70" s="12" t="str">
        <x:f>IF(F70="Eligible",IF(OR(C70="SIBAU-BEEE",C70="SIBAU-BECSE"),"Meets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70" s="22" t="n">
        <x:f>IFERROR(SUMPRODUCT(Student_Test_Profiles!$F$6:$N$6,Program_Master!$I$14:$Q$14)/SUMPRODUCT(--(Student_Test_Profiles!$F$6:$N$6&lt;&gt;""),Program_Master!$I$14:$Q$14),"")</x:f>
        <x:v>79.15384615384616</x:v>
      </x:c>
      <x:c r="I70" s="22" t="n">
        <x:f>SUMPRODUCT(Student_Test_Profiles!$O$6:$Y$6,Program_Master!$X$14:$AH$14)/100</x:f>
        <x:v>80.25</x:v>
      </x:c>
      <x:c r="J70" s="22" t="n">
        <x:f>SUMPRODUCT(Student_Test_Profiles!$Z$6:$AE$6,Program_Master!$R$14:$W$14)/100</x:f>
        <x:v>79.5</x:v>
      </x:c>
      <x:c r="K70" s="22" t="str">
        <x:f>IF(F70="Eligible",H70*0.5+I70*0.3+J70*0.2,"")</x:f>
      </x:c>
      <x:c r="L70" s="22" t="str">
        <x:f>IF(F70&lt;&gt;"Eligible","",1+COUNTIFS($F$58:$F$71,"Eligible",$K$58:$K$71,"&gt;"&amp;K70))</x:f>
      </x:c>
      <x:c r="M70" s="22" t="str">
        <x:f>IF(K70="","",IF(K70&gt;=85,"Excellent Match",IF(K70&gt;=75,"Strong Match",IF(K70&gt;=65,"Good Match",IF(K70&gt;=55,"Moderate Match","Weak Match")))))</x:f>
      </x:c>
      <x:c r="N70" s="12" t="str">
        <x:f>IF(A70="TEST-E","Pre-Medical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71">
      <x:c r="A71" s="12" t="str">
        <x:f>Student_Test_Profiles!A6</x:f>
        <x:v>TEST-E</x:v>
      </x:c>
      <x:c r="B71" s="12" t="str">
        <x:f>Student_Test_Profiles!B6</x:f>
        <x:v>Pre-Medical Student with Strong Computing Interest</x:v>
      </x:c>
      <x:c r="C71" s="12" t="str">
        <x:f>Program_Master!A15</x:f>
        <x:v>SIBAU-BEDH</x:v>
      </x:c>
      <x:c r="D71" s="12" t="str">
        <x:f>Program_Master!B15</x:f>
        <x:v>B.Ed (Hons)</x:v>
      </x:c>
      <x:c r="E71" s="12" t="str">
        <x:f>Program_Master!C15</x:f>
        <x:v>Education</x:v>
      </x:c>
      <x:c r="F71" s="12" t="str">
        <x:f>IF(Student_Test_Profiles!$AF$6&lt;Program_Master!$H$15,"Not Eligible",IF(C71="SIBAU-BEEE",IF(AND(Student_Test_Profiles!$C$6="Pre-Engineering",Student_Test_Profiles!$F$6&gt;=Program_Master!$G$15,Student_Test_Profiles!$G$6&gt;=Program_Master!$G$15),"Eligible","Not Eligible"),IF(C71="SIBAU-BECSE",IF(AND(OR(Student_Test_Profiles!$C$6="Pre-Engineering",Student_Test_Profiles!$C$6="ICS"),Student_Test_Profiles!$F$6&gt;=Program_Master!$G$15,OR(Student_Test_Profiles!$G$6&gt;=Program_Master!$G$15,Student_Test_Profiles!$H$6&gt;=Program_Master!$G$15)),"Eligible","Not Eligible"),"Eligible")))</x:f>
        <x:v>Eligible</x:v>
      </x:c>
      <x:c r="G71" s="12" t="str">
        <x:f>IF(F71="Eligible",IF(OR(C71="SIBAU-BEEE",C71="SIBAU-BECSE"),"Meets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1" s="22" t="n">
        <x:f>IFERROR(SUMPRODUCT(Student_Test_Profiles!$F$6:$N$6,Program_Master!$I$15:$Q$15)/SUMPRODUCT(--(Student_Test_Profiles!$F$6:$N$6&lt;&gt;""),Program_Master!$I$15:$Q$15),"")</x:f>
        <x:v>71.15789473684211</x:v>
      </x:c>
      <x:c r="I71" s="22" t="n">
        <x:f>SUMPRODUCT(Student_Test_Profiles!$O$6:$Y$6,Program_Master!$X$15:$AH$15)/100</x:f>
        <x:v>41.5</x:v>
      </x:c>
      <x:c r="J71" s="22" t="n">
        <x:f>SUMPRODUCT(Student_Test_Profiles!$Z$6:$AE$6,Program_Master!$R$15:$W$15)/100</x:f>
        <x:v>64.5</x:v>
      </x:c>
      <x:c r="K71" s="22" t="n">
        <x:f>IF(F71="Eligible",H71*0.5+I71*0.3+J71*0.2,"")</x:f>
        <x:v>60.928947368421056</x:v>
      </x:c>
      <x:c r="L71" s="22" t="n">
        <x:f>IF(F71&lt;&gt;"Eligible","",1+COUNTIFS($F$58:$F$71,"Eligible",$K$58:$K$71,"&gt;"&amp;K71))</x:f>
        <x:v>9</x:v>
      </x:c>
      <x:c r="M71" s="22" t="str">
        <x:f>IF(K71="","",IF(K71&gt;=85,"Excellent Match",IF(K71&gt;=75,"Strong Match",IF(K71&gt;=65,"Good Match",IF(K71&gt;=55,"Moderate Match","Weak Match")))))</x:f>
        <x:v>Moderate Match</x:v>
      </x:c>
      <x:c r="N71" s="12" t="str">
        <x:f>IF(A71="TEST-E","Pre-Medical students are eligible for computing and other non-engineering programs; only the two engineering programs remain restricted.","Marks, interests and aptitude should be checked for alignment.")</x:f>
        <x:v>Pre-Medical students are eligible for computing and other non-engineering programs; only the two engineering programs remain restricted.</x:v>
      </x:c>
    </x:row>
    <x:row r="72">
      <x:c r="A72" s="12" t="str">
        <x:f>Student_Test_Profiles!A7</x:f>
        <x:v>TEST-F</x:v>
      </x:c>
      <x:c r="B72" s="12" t="str">
        <x:f>Student_Test_Profiles!B7</x:f>
        <x:v>Broad but Weakly Differentiated Student</x:v>
      </x:c>
      <x:c r="C72" s="12" t="str">
        <x:f>Program_Master!A2</x:f>
        <x:v>SIBAU-BBA</x:v>
      </x:c>
      <x:c r="D72" s="12" t="str">
        <x:f>Program_Master!B2</x:f>
        <x:v>Bachelor of Business Administration (BBA)</x:v>
      </x:c>
      <x:c r="E72" s="12" t="str">
        <x:f>Program_Master!C2</x:f>
        <x:v>Business &amp; Management</x:v>
      </x:c>
      <x:c r="F72" s="12" t="str">
        <x:f>IF(Student_Test_Profiles!$AF$7&lt;Program_Master!$H$2,"Not Eligible",IF(C72="SIBAU-BEEE",IF(AND(Student_Test_Profiles!$C$7="Pre-Engineering",Student_Test_Profiles!$F$7&gt;=Program_Master!$G$2,Student_Test_Profiles!$G$7&gt;=Program_Master!$G$2),"Eligible","Not Eligible"),IF(C72="SIBAU-BECSE",IF(AND(OR(Student_Test_Profiles!$C$7="Pre-Engineering",Student_Test_Profiles!$C$7="ICS"),Student_Test_Profiles!$F$7&gt;=Program_Master!$G$2,OR(Student_Test_Profiles!$G$7&gt;=Program_Master!$G$2,Student_Test_Profiles!$H$7&gt;=Program_Master!$G$2)),"Eligible","Not Eligible"),"Eligible")))</x:f>
        <x:v>Eligible</x:v>
      </x:c>
      <x:c r="G72" s="12" t="str">
        <x:f>IF(F72="Eligible",IF(OR(C72="SIBAU-BEEE",C72="SIBAU-BECSE"),"Meets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2" s="22" t="n">
        <x:f>IFERROR(SUMPRODUCT(Student_Test_Profiles!$F$7:$N$7,Program_Master!$I$2:$Q$2)/SUMPRODUCT(--(Student_Test_Profiles!$F$7:$N$7&lt;&gt;""),Program_Master!$I$2:$Q$2),"")</x:f>
        <x:v>64.4</x:v>
      </x:c>
      <x:c r="I72" s="22" t="n">
        <x:f>SUMPRODUCT(Student_Test_Profiles!$O$7:$Y$7,Program_Master!$X$2:$AH$2)/100</x:f>
        <x:v>47</x:v>
      </x:c>
      <x:c r="J72" s="22" t="n">
        <x:f>SUMPRODUCT(Student_Test_Profiles!$Z$7:$AE$7,Program_Master!$R$2:$W$2)/100</x:f>
        <x:v>55.45</x:v>
      </x:c>
      <x:c r="K72" s="22" t="n">
        <x:f>IF(F72="Eligible",H72*0.5+I72*0.3+J72*0.2,"")</x:f>
        <x:v>57.39000000000001</x:v>
      </x:c>
      <x:c r="L72" s="22" t="n">
        <x:f>IF(F72&lt;&gt;"Eligible","",1+COUNTIFS($F$72:$F$85,"Eligible",$K$72:$K$85,"&gt;"&amp;K72))</x:f>
        <x:v>3</x:v>
      </x:c>
      <x:c r="M72" s="22" t="str">
        <x:f>IF(K72="","",IF(K72&gt;=85,"Excellent Match",IF(K72&gt;=75,"Strong Match",IF(K72&gt;=65,"Good Match",IF(K72&gt;=55,"Moderate Match","Weak Match")))))</x:f>
        <x:v>Moderate Match</x:v>
      </x:c>
      <x:c r="N72" s="12" t="str">
        <x:v>No dominant pattern; recommendation confidence should remain low.</x:v>
      </x:c>
    </x:row>
    <x:row r="73">
      <x:c r="A73" s="12" t="str">
        <x:f>Student_Test_Profiles!A7</x:f>
        <x:v>TEST-F</x:v>
      </x:c>
      <x:c r="B73" s="12" t="str">
        <x:f>Student_Test_Profiles!B7</x:f>
        <x:v>Broad but Weakly Differentiated Student</x:v>
      </x:c>
      <x:c r="C73" s="12" t="str">
        <x:f>Program_Master!A3</x:f>
        <x:v>SIBAU-BBA-AGRI</x:v>
      </x:c>
      <x:c r="D73" s="12" t="str">
        <x:f>Program_Master!B3</x:f>
        <x:v>BBA (Agribusiness)</x:v>
      </x:c>
      <x:c r="E73" s="12" t="str">
        <x:f>Program_Master!C3</x:f>
        <x:v>Business &amp; Agriculture</x:v>
      </x:c>
      <x:c r="F73" s="12" t="str">
        <x:f>IF(Student_Test_Profiles!$AF$7&lt;Program_Master!$H$3,"Not Eligible",IF(C73="SIBAU-BEEE",IF(AND(Student_Test_Profiles!$C$7="Pre-Engineering",Student_Test_Profiles!$F$7&gt;=Program_Master!$G$3,Student_Test_Profiles!$G$7&gt;=Program_Master!$G$3),"Eligible","Not Eligible"),IF(C73="SIBAU-BECSE",IF(AND(OR(Student_Test_Profiles!$C$7="Pre-Engineering",Student_Test_Profiles!$C$7="ICS"),Student_Test_Profiles!$F$7&gt;=Program_Master!$G$3,OR(Student_Test_Profiles!$G$7&gt;=Program_Master!$G$3,Student_Test_Profiles!$H$7&gt;=Program_Master!$G$3)),"Eligible","Not Eligible"),"Eligible")))</x:f>
        <x:v>Eligible</x:v>
      </x:c>
      <x:c r="G73" s="12" t="str">
        <x:f>IF(F73="Eligible",IF(OR(C73="SIBAU-BEEE",C73="SIBAU-BECSE"),"Meets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3" s="22" t="n">
        <x:f>IFERROR(SUMPRODUCT(Student_Test_Profiles!$F$7:$N$7,Program_Master!$I$3:$Q$3)/SUMPRODUCT(--(Student_Test_Profiles!$F$7:$N$7&lt;&gt;""),Program_Master!$I$3:$Q$3),"")</x:f>
        <x:v>64.58333333333333</x:v>
      </x:c>
      <x:c r="I73" s="22" t="n">
        <x:f>SUMPRODUCT(Student_Test_Profiles!$O$7:$Y$7,Program_Master!$X$3:$AH$3)/100</x:f>
        <x:v>40</x:v>
      </x:c>
      <x:c r="J73" s="22" t="n">
        <x:f>SUMPRODUCT(Student_Test_Profiles!$Z$7:$AE$7,Program_Master!$R$3:$W$3)/100</x:f>
        <x:v>54.75</x:v>
      </x:c>
      <x:c r="K73" s="22" t="n">
        <x:f>IF(F73="Eligible",H73*0.5+I73*0.3+J73*0.2,"")</x:f>
        <x:v>55.24166666666667</x:v>
      </x:c>
      <x:c r="L73" s="22" t="n">
        <x:f>IF(F73&lt;&gt;"Eligible","",1+COUNTIFS($F$72:$F$85,"Eligible",$K$72:$K$85,"&gt;"&amp;K73))</x:f>
        <x:v>8</x:v>
      </x:c>
      <x:c r="M73" s="22" t="str">
        <x:f>IF(K73="","",IF(K73&gt;=85,"Excellent Match",IF(K73&gt;=75,"Strong Match",IF(K73&gt;=65,"Good Match",IF(K73&gt;=55,"Moderate Match","Weak Match")))))</x:f>
        <x:v>Moderate Match</x:v>
      </x:c>
      <x:c r="N73" s="12" t="str">
        <x:v>No dominant pattern; recommendation confidence should remain low.</x:v>
      </x:c>
    </x:row>
    <x:row r="74">
      <x:c r="A74" s="12" t="str">
        <x:f>Student_Test_Profiles!A7</x:f>
        <x:v>TEST-F</x:v>
      </x:c>
      <x:c r="B74" s="12" t="str">
        <x:f>Student_Test_Profiles!B7</x:f>
        <x:v>Broad but Weakly Differentiated Student</x:v>
      </x:c>
      <x:c r="C74" s="12" t="str">
        <x:f>Program_Master!A4</x:f>
        <x:v>SIBAU-BSCS</x:v>
      </x:c>
      <x:c r="D74" s="12" t="str">
        <x:f>Program_Master!B4</x:f>
        <x:v>BS Computer Science</x:v>
      </x:c>
      <x:c r="E74" s="12" t="str">
        <x:f>Program_Master!C4</x:f>
        <x:v>Computing</x:v>
      </x:c>
      <x:c r="F74" s="12" t="str">
        <x:f>IF(Student_Test_Profiles!$AF$7&lt;Program_Master!$H$4,"Not Eligible",IF(C74="SIBAU-BEEE",IF(AND(Student_Test_Profiles!$C$7="Pre-Engineering",Student_Test_Profiles!$F$7&gt;=Program_Master!$G$4,Student_Test_Profiles!$G$7&gt;=Program_Master!$G$4),"Eligible","Not Eligible"),IF(C74="SIBAU-BECSE",IF(AND(OR(Student_Test_Profiles!$C$7="Pre-Engineering",Student_Test_Profiles!$C$7="ICS"),Student_Test_Profiles!$F$7&gt;=Program_Master!$G$4,OR(Student_Test_Profiles!$G$7&gt;=Program_Master!$G$4,Student_Test_Profiles!$H$7&gt;=Program_Master!$G$4)),"Eligible","Not Eligible"),"Eligible")))</x:f>
        <x:v>Eligible</x:v>
      </x:c>
      <x:c r="G74" s="12" t="str">
        <x:f>IF(F74="Eligible",IF(OR(C74="SIBAU-BEEE",C74="SIBAU-BECSE"),"Meets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4" s="22" t="n">
        <x:f>IFERROR(SUMPRODUCT(Student_Test_Profiles!$F$7:$N$7,Program_Master!$I$4:$Q$4)/SUMPRODUCT(--(Student_Test_Profiles!$F$7:$N$7&lt;&gt;""),Program_Master!$I$4:$Q$4),"")</x:f>
        <x:v>66.8</x:v>
      </x:c>
      <x:c r="I74" s="22" t="n">
        <x:f>SUMPRODUCT(Student_Test_Profiles!$O$7:$Y$7,Program_Master!$X$4:$AH$4)/100</x:f>
        <x:v>40</x:v>
      </x:c>
      <x:c r="J74" s="22" t="n">
        <x:f>SUMPRODUCT(Student_Test_Profiles!$Z$7:$AE$7,Program_Master!$R$4:$W$4)/100</x:f>
        <x:v>49.75</x:v>
      </x:c>
      <x:c r="K74" s="22" t="n">
        <x:f>IF(F74="Eligible",H74*0.5+I74*0.3+J74*0.2,"")</x:f>
        <x:v>55.35</x:v>
      </x:c>
      <x:c r="L74" s="22" t="n">
        <x:f>IF(F74&lt;&gt;"Eligible","",1+COUNTIFS($F$72:$F$85,"Eligible",$K$72:$K$85,"&gt;"&amp;K74))</x:f>
        <x:v>7</x:v>
      </x:c>
      <x:c r="M74" s="22" t="str">
        <x:f>IF(K74="","",IF(K74&gt;=85,"Excellent Match",IF(K74&gt;=75,"Strong Match",IF(K74&gt;=65,"Good Match",IF(K74&gt;=55,"Moderate Match","Weak Match")))))</x:f>
        <x:v>Moderate Match</x:v>
      </x:c>
      <x:c r="N74" s="12" t="str">
        <x:v>No dominant pattern; recommendation confidence should remain low.</x:v>
      </x:c>
    </x:row>
    <x:row r="75">
      <x:c r="A75" s="12" t="str">
        <x:f>Student_Test_Profiles!A7</x:f>
        <x:v>TEST-F</x:v>
      </x:c>
      <x:c r="B75" s="12" t="str">
        <x:f>Student_Test_Profiles!B7</x:f>
        <x:v>Broad but Weakly Differentiated Student</x:v>
      </x:c>
      <x:c r="C75" s="12" t="str">
        <x:f>Program_Master!A5</x:f>
        <x:v>SIBAU-BSSE</x:v>
      </x:c>
      <x:c r="D75" s="12" t="str">
        <x:f>Program_Master!B5</x:f>
        <x:v>BS Software Engineering</x:v>
      </x:c>
      <x:c r="E75" s="12" t="str">
        <x:f>Program_Master!C5</x:f>
        <x:v>Computing</x:v>
      </x:c>
      <x:c r="F75" s="12" t="str">
        <x:f>IF(Student_Test_Profiles!$AF$7&lt;Program_Master!$H$5,"Not Eligible",IF(C75="SIBAU-BEEE",IF(AND(Student_Test_Profiles!$C$7="Pre-Engineering",Student_Test_Profiles!$F$7&gt;=Program_Master!$G$5,Student_Test_Profiles!$G$7&gt;=Program_Master!$G$5),"Eligible","Not Eligible"),IF(C75="SIBAU-BECSE",IF(AND(OR(Student_Test_Profiles!$C$7="Pre-Engineering",Student_Test_Profiles!$C$7="ICS"),Student_Test_Profiles!$F$7&gt;=Program_Master!$G$5,OR(Student_Test_Profiles!$G$7&gt;=Program_Master!$G$5,Student_Test_Profiles!$H$7&gt;=Program_Master!$G$5)),"Eligible","Not Eligible"),"Eligible")))</x:f>
        <x:v>Eligible</x:v>
      </x:c>
      <x:c r="G75" s="12" t="str">
        <x:f>IF(F75="Eligible",IF(OR(C75="SIBAU-BEEE",C75="SIBAU-BECSE"),"Meets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5" s="22" t="n">
        <x:f>IFERROR(SUMPRODUCT(Student_Test_Profiles!$F$7:$N$7,Program_Master!$I$5:$Q$5)/SUMPRODUCT(--(Student_Test_Profiles!$F$7:$N$7&lt;&gt;""),Program_Master!$I$5:$Q$5),"")</x:f>
        <x:v>66.71428571428571</x:v>
      </x:c>
      <x:c r="I75" s="22" t="n">
        <x:f>SUMPRODUCT(Student_Test_Profiles!$O$7:$Y$7,Program_Master!$X$5:$AH$5)/100</x:f>
        <x:v>39.75</x:v>
      </x:c>
      <x:c r="J75" s="22" t="n">
        <x:f>SUMPRODUCT(Student_Test_Profiles!$Z$7:$AE$7,Program_Master!$R$5:$W$5)/100</x:f>
        <x:v>52.2</x:v>
      </x:c>
      <x:c r="K75" s="22" t="n">
        <x:f>IF(F75="Eligible",H75*0.5+I75*0.3+J75*0.2,"")</x:f>
        <x:v>55.722142857142856</x:v>
      </x:c>
      <x:c r="L75" s="22" t="n">
        <x:f>IF(F75&lt;&gt;"Eligible","",1+COUNTIFS($F$72:$F$85,"Eligible",$K$72:$K$85,"&gt;"&amp;K75))</x:f>
        <x:v>6</x:v>
      </x:c>
      <x:c r="M75" s="22" t="str">
        <x:f>IF(K75="","",IF(K75&gt;=85,"Excellent Match",IF(K75&gt;=75,"Strong Match",IF(K75&gt;=65,"Good Match",IF(K75&gt;=55,"Moderate Match","Weak Match")))))</x:f>
        <x:v>Moderate Match</x:v>
      </x:c>
      <x:c r="N75" s="12" t="str">
        <x:v>No dominant pattern; recommendation confidence should remain low.</x:v>
      </x:c>
    </x:row>
    <x:row r="76">
      <x:c r="A76" s="12" t="str">
        <x:f>Student_Test_Profiles!A7</x:f>
        <x:v>TEST-F</x:v>
      </x:c>
      <x:c r="B76" s="12" t="str">
        <x:f>Student_Test_Profiles!B7</x:f>
        <x:v>Broad but Weakly Differentiated Student</x:v>
      </x:c>
      <x:c r="C76" s="12" t="str">
        <x:f>Program_Master!A6</x:f>
        <x:v>SIBAU-BSAI</x:v>
      </x:c>
      <x:c r="D76" s="12" t="str">
        <x:f>Program_Master!B6</x:f>
        <x:v>BS Artificial Intelligence</x:v>
      </x:c>
      <x:c r="E76" s="12" t="str">
        <x:f>Program_Master!C6</x:f>
        <x:v>Computing &amp; AI</x:v>
      </x:c>
      <x:c r="F76" s="12" t="str">
        <x:f>IF(Student_Test_Profiles!$AF$7&lt;Program_Master!$H$6,"Not Eligible",IF(C76="SIBAU-BEEE",IF(AND(Student_Test_Profiles!$C$7="Pre-Engineering",Student_Test_Profiles!$F$7&gt;=Program_Master!$G$6,Student_Test_Profiles!$G$7&gt;=Program_Master!$G$6),"Eligible","Not Eligible"),IF(C76="SIBAU-BECSE",IF(AND(OR(Student_Test_Profiles!$C$7="Pre-Engineering",Student_Test_Profiles!$C$7="ICS"),Student_Test_Profiles!$F$7&gt;=Program_Master!$G$6,OR(Student_Test_Profiles!$G$7&gt;=Program_Master!$G$6,Student_Test_Profiles!$H$7&gt;=Program_Master!$G$6)),"Eligible","Not Eligible"),"Eligible")))</x:f>
        <x:v>Eligible</x:v>
      </x:c>
      <x:c r="G76" s="12" t="str">
        <x:f>IF(F76="Eligible",IF(OR(C76="SIBAU-BEEE",C76="SIBAU-BECSE"),"Meets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6" s="22" t="n">
        <x:f>IFERROR(SUMPRODUCT(Student_Test_Profiles!$F$7:$N$7,Program_Master!$I$6:$Q$6)/SUMPRODUCT(--(Student_Test_Profiles!$F$7:$N$7&lt;&gt;""),Program_Master!$I$6:$Q$6),"")</x:f>
        <x:v>64.83333333333333</x:v>
      </x:c>
      <x:c r="I76" s="22" t="n">
        <x:f>SUMPRODUCT(Student_Test_Profiles!$O$7:$Y$7,Program_Master!$X$6:$AH$6)/100</x:f>
        <x:v>40.75</x:v>
      </x:c>
      <x:c r="J76" s="22" t="n">
        <x:f>SUMPRODUCT(Student_Test_Profiles!$Z$7:$AE$7,Program_Master!$R$6:$W$6)/100</x:f>
        <x:v>49</x:v>
      </x:c>
      <x:c r="K76" s="22" t="n">
        <x:f>IF(F76="Eligible",H76*0.5+I76*0.3+J76*0.2,"")</x:f>
        <x:v>54.44166666666666</x:v>
      </x:c>
      <x:c r="L76" s="22" t="n">
        <x:f>IF(F76&lt;&gt;"Eligible","",1+COUNTIFS($F$72:$F$85,"Eligible",$K$72:$K$85,"&gt;"&amp;K76))</x:f>
        <x:v>12</x:v>
      </x:c>
      <x:c r="M76" s="22" t="str">
        <x:f>IF(K76="","",IF(K76&gt;=85,"Excellent Match",IF(K76&gt;=75,"Strong Match",IF(K76&gt;=65,"Good Match",IF(K76&gt;=55,"Moderate Match","Weak Match")))))</x:f>
        <x:v>Weak Match</x:v>
      </x:c>
      <x:c r="N76" s="12" t="str">
        <x:v>No dominant pattern; recommendation confidence should remain low.</x:v>
      </x:c>
    </x:row>
    <x:row r="77">
      <x:c r="A77" s="12" t="str">
        <x:f>Student_Test_Profiles!A7</x:f>
        <x:v>TEST-F</x:v>
      </x:c>
      <x:c r="B77" s="12" t="str">
        <x:f>Student_Test_Profiles!B7</x:f>
        <x:v>Broad but Weakly Differentiated Student</x:v>
      </x:c>
      <x:c r="C77" s="12" t="str">
        <x:f>Program_Master!A7</x:f>
        <x:v>SIBAU-BSAF</x:v>
      </x:c>
      <x:c r="D77" s="12" t="str">
        <x:f>Program_Master!B7</x:f>
        <x:v>BS Accounting &amp; Finance</x:v>
      </x:c>
      <x:c r="E77" s="12" t="str">
        <x:f>Program_Master!C7</x:f>
        <x:v>Business &amp; Finance</x:v>
      </x:c>
      <x:c r="F77" s="12" t="str">
        <x:f>IF(Student_Test_Profiles!$AF$7&lt;Program_Master!$H$7,"Not Eligible",IF(C77="SIBAU-BEEE",IF(AND(Student_Test_Profiles!$C$7="Pre-Engineering",Student_Test_Profiles!$F$7&gt;=Program_Master!$G$7,Student_Test_Profiles!$G$7&gt;=Program_Master!$G$7),"Eligible","Not Eligible"),IF(C77="SIBAU-BECSE",IF(AND(OR(Student_Test_Profiles!$C$7="Pre-Engineering",Student_Test_Profiles!$C$7="ICS"),Student_Test_Profiles!$F$7&gt;=Program_Master!$G$7,OR(Student_Test_Profiles!$G$7&gt;=Program_Master!$G$7,Student_Test_Profiles!$H$7&gt;=Program_Master!$G$7)),"Eligible","Not Eligible"),"Eligible")))</x:f>
        <x:v>Eligible</x:v>
      </x:c>
      <x:c r="G77" s="12" t="str">
        <x:f>IF(F77="Eligible",IF(OR(C77="SIBAU-BEEE",C77="SIBAU-BECSE"),"Meets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7" s="22" t="n">
        <x:f>IFERROR(SUMPRODUCT(Student_Test_Profiles!$F$7:$N$7,Program_Master!$I$7:$Q$7)/SUMPRODUCT(--(Student_Test_Profiles!$F$7:$N$7&lt;&gt;""),Program_Master!$I$7:$Q$7),"")</x:f>
        <x:v>62.888888888888886</x:v>
      </x:c>
      <x:c r="I77" s="22" t="n">
        <x:f>SUMPRODUCT(Student_Test_Profiles!$O$7:$Y$7,Program_Master!$X$7:$AH$7)/100</x:f>
        <x:v>41</x:v>
      </x:c>
      <x:c r="J77" s="22" t="n">
        <x:f>SUMPRODUCT(Student_Test_Profiles!$Z$7:$AE$7,Program_Master!$R$7:$W$7)/100</x:f>
        <x:v>53.5</x:v>
      </x:c>
      <x:c r="K77" s="22" t="n">
        <x:f>IF(F77="Eligible",H77*0.5+I77*0.3+J77*0.2,"")</x:f>
        <x:v>54.44444444444444</x:v>
      </x:c>
      <x:c r="L77" s="22" t="n">
        <x:f>IF(F77&lt;&gt;"Eligible","",1+COUNTIFS($F$72:$F$85,"Eligible",$K$72:$K$85,"&gt;"&amp;K77))</x:f>
        <x:v>11</x:v>
      </x:c>
      <x:c r="M77" s="22" t="str">
        <x:f>IF(K77="","",IF(K77&gt;=85,"Excellent Match",IF(K77&gt;=75,"Strong Match",IF(K77&gt;=65,"Good Match",IF(K77&gt;=55,"Moderate Match","Weak Match")))))</x:f>
        <x:v>Weak Match</x:v>
      </x:c>
      <x:c r="N77" s="12" t="str">
        <x:v>No dominant pattern; recommendation confidence should remain low.</x:v>
      </x:c>
    </x:row>
    <x:row r="78">
      <x:c r="A78" s="12" t="str">
        <x:f>Student_Test_Profiles!A7</x:f>
        <x:v>TEST-F</x:v>
      </x:c>
      <x:c r="B78" s="12" t="str">
        <x:f>Student_Test_Profiles!B7</x:f>
        <x:v>Broad but Weakly Differentiated Student</x:v>
      </x:c>
      <x:c r="C78" s="12" t="str">
        <x:f>Program_Master!A8</x:f>
        <x:v>SIBAU-BSECO</x:v>
      </x:c>
      <x:c r="D78" s="12" t="str">
        <x:f>Program_Master!B8</x:f>
        <x:v>BS Economics</x:v>
      </x:c>
      <x:c r="E78" s="12" t="str">
        <x:f>Program_Master!C8</x:f>
        <x:v>Economics &amp; Social Science</x:v>
      </x:c>
      <x:c r="F78" s="12" t="str">
        <x:f>IF(Student_Test_Profiles!$AF$7&lt;Program_Master!$H$8,"Not Eligible",IF(C78="SIBAU-BEEE",IF(AND(Student_Test_Profiles!$C$7="Pre-Engineering",Student_Test_Profiles!$F$7&gt;=Program_Master!$G$8,Student_Test_Profiles!$G$7&gt;=Program_Master!$G$8),"Eligible","Not Eligible"),IF(C78="SIBAU-BECSE",IF(AND(OR(Student_Test_Profiles!$C$7="Pre-Engineering",Student_Test_Profiles!$C$7="ICS"),Student_Test_Profiles!$F$7&gt;=Program_Master!$G$8,OR(Student_Test_Profiles!$G$7&gt;=Program_Master!$G$8,Student_Test_Profiles!$H$7&gt;=Program_Master!$G$8)),"Eligible","Not Eligible"),"Eligible")))</x:f>
        <x:v>Eligible</x:v>
      </x:c>
      <x:c r="G78" s="12" t="str">
        <x:f>IF(F78="Eligible",IF(OR(C78="SIBAU-BEEE",C78="SIBAU-BECSE"),"Meets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8" s="22" t="n">
        <x:f>IFERROR(SUMPRODUCT(Student_Test_Profiles!$F$7:$N$7,Program_Master!$I$8:$Q$8)/SUMPRODUCT(--(Student_Test_Profiles!$F$7:$N$7&lt;&gt;""),Program_Master!$I$8:$Q$8),"")</x:f>
        <x:v>62.857142857142854</x:v>
      </x:c>
      <x:c r="I78" s="22" t="n">
        <x:f>SUMPRODUCT(Student_Test_Profiles!$O$7:$Y$7,Program_Master!$X$8:$AH$8)/100</x:f>
        <x:v>41</x:v>
      </x:c>
      <x:c r="J78" s="22" t="n">
        <x:f>SUMPRODUCT(Student_Test_Profiles!$Z$7:$AE$7,Program_Master!$R$8:$W$8)/100</x:f>
        <x:v>53.85</x:v>
      </x:c>
      <x:c r="K78" s="22" t="n">
        <x:f>IF(F78="Eligible",H78*0.5+I78*0.3+J78*0.2,"")</x:f>
        <x:v>54.49857142857143</x:v>
      </x:c>
      <x:c r="L78" s="22" t="n">
        <x:f>IF(F78&lt;&gt;"Eligible","",1+COUNTIFS($F$72:$F$85,"Eligible",$K$72:$K$85,"&gt;"&amp;K78))</x:f>
        <x:v>10</x:v>
      </x:c>
      <x:c r="M78" s="22" t="str">
        <x:f>IF(K78="","",IF(K78&gt;=85,"Excellent Match",IF(K78&gt;=75,"Strong Match",IF(K78&gt;=65,"Good Match",IF(K78&gt;=55,"Moderate Match","Weak Match")))))</x:f>
        <x:v>Weak Match</x:v>
      </x:c>
      <x:c r="N78" s="12" t="str">
        <x:v>No dominant pattern; recommendation confidence should remain low.</x:v>
      </x:c>
    </x:row>
    <x:row r="79">
      <x:c r="A79" s="12" t="str">
        <x:f>Student_Test_Profiles!A7</x:f>
        <x:v>TEST-F</x:v>
      </x:c>
      <x:c r="B79" s="12" t="str">
        <x:f>Student_Test_Profiles!B7</x:f>
        <x:v>Broad but Weakly Differentiated Student</x:v>
      </x:c>
      <x:c r="C79" s="12" t="str">
        <x:f>Program_Master!A9</x:f>
        <x:v>SIBAU-BSMATH</x:v>
      </x:c>
      <x:c r="D79" s="12" t="str">
        <x:f>Program_Master!B9</x:f>
        <x:v>BS Mathematics</x:v>
      </x:c>
      <x:c r="E79" s="12" t="str">
        <x:f>Program_Master!C9</x:f>
        <x:v>Mathematics &amp; Sciences</x:v>
      </x:c>
      <x:c r="F79" s="12" t="str">
        <x:f>IF(Student_Test_Profiles!$AF$7&lt;Program_Master!$H$9,"Not Eligible",IF(C79="SIBAU-BEEE",IF(AND(Student_Test_Profiles!$C$7="Pre-Engineering",Student_Test_Profiles!$F$7&gt;=Program_Master!$G$9,Student_Test_Profiles!$G$7&gt;=Program_Master!$G$9),"Eligible","Not Eligible"),IF(C79="SIBAU-BECSE",IF(AND(OR(Student_Test_Profiles!$C$7="Pre-Engineering",Student_Test_Profiles!$C$7="ICS"),Student_Test_Profiles!$F$7&gt;=Program_Master!$G$9,OR(Student_Test_Profiles!$G$7&gt;=Program_Master!$G$9,Student_Test_Profiles!$H$7&gt;=Program_Master!$G$9)),"Eligible","Not Eligible"),"Eligible")))</x:f>
        <x:v>Eligible</x:v>
      </x:c>
      <x:c r="G79" s="12" t="str">
        <x:f>IF(F79="Eligible",IF(OR(C79="SIBAU-BEEE",C79="SIBAU-BECSE"),"Meets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79" s="22" t="n">
        <x:f>IFERROR(SUMPRODUCT(Student_Test_Profiles!$F$7:$N$7,Program_Master!$I$9:$Q$9)/SUMPRODUCT(--(Student_Test_Profiles!$F$7:$N$7&lt;&gt;""),Program_Master!$I$9:$Q$9),"")</x:f>
        <x:v>66.5</x:v>
      </x:c>
      <x:c r="I79" s="22" t="n">
        <x:f>SUMPRODUCT(Student_Test_Profiles!$O$7:$Y$7,Program_Master!$X$9:$AH$9)/100</x:f>
        <x:v>39</x:v>
      </x:c>
      <x:c r="J79" s="22" t="n">
        <x:f>SUMPRODUCT(Student_Test_Profiles!$Z$7:$AE$7,Program_Master!$R$9:$W$9)/100</x:f>
        <x:v>47.75</x:v>
      </x:c>
      <x:c r="K79" s="22" t="n">
        <x:f>IF(F79="Eligible",H79*0.5+I79*0.3+J79*0.2,"")</x:f>
        <x:v>54.5</x:v>
      </x:c>
      <x:c r="L79" s="22" t="n">
        <x:f>IF(F79&lt;&gt;"Eligible","",1+COUNTIFS($F$72:$F$85,"Eligible",$K$72:$K$85,"&gt;"&amp;K79))</x:f>
        <x:v>9</x:v>
      </x:c>
      <x:c r="M79" s="22" t="str">
        <x:f>IF(K79="","",IF(K79&gt;=85,"Excellent Match",IF(K79&gt;=75,"Strong Match",IF(K79&gt;=65,"Good Match",IF(K79&gt;=55,"Moderate Match","Weak Match")))))</x:f>
        <x:v>Weak Match</x:v>
      </x:c>
      <x:c r="N79" s="12" t="str">
        <x:v>No dominant pattern; recommendation confidence should remain low.</x:v>
      </x:c>
    </x:row>
    <x:row r="80">
      <x:c r="A80" s="12" t="str">
        <x:f>Student_Test_Profiles!A7</x:f>
        <x:v>TEST-F</x:v>
      </x:c>
      <x:c r="B80" s="12" t="str">
        <x:f>Student_Test_Profiles!B7</x:f>
        <x:v>Broad but Weakly Differentiated Student</x:v>
      </x:c>
      <x:c r="C80" s="12" t="str">
        <x:f>Program_Master!A10</x:f>
        <x:v>SIBAU-BSMC</x:v>
      </x:c>
      <x:c r="D80" s="12" t="str">
        <x:f>Program_Master!B10</x:f>
        <x:v>BS Media &amp; Communication</x:v>
      </x:c>
      <x:c r="E80" s="12" t="str">
        <x:f>Program_Master!C10</x:f>
        <x:v>Media &amp; Communication</x:v>
      </x:c>
      <x:c r="F80" s="12" t="str">
        <x:f>IF(Student_Test_Profiles!$AF$7&lt;Program_Master!$H$10,"Not Eligible",IF(C80="SIBAU-BEEE",IF(AND(Student_Test_Profiles!$C$7="Pre-Engineering",Student_Test_Profiles!$F$7&gt;=Program_Master!$G$10,Student_Test_Profiles!$G$7&gt;=Program_Master!$G$10),"Eligible","Not Eligible"),IF(C80="SIBAU-BECSE",IF(AND(OR(Student_Test_Profiles!$C$7="Pre-Engineering",Student_Test_Profiles!$C$7="ICS"),Student_Test_Profiles!$F$7&gt;=Program_Master!$G$10,OR(Student_Test_Profiles!$G$7&gt;=Program_Master!$G$10,Student_Test_Profiles!$H$7&gt;=Program_Master!$G$10)),"Eligible","Not Eligible"),"Eligible")))</x:f>
        <x:v>Eligible</x:v>
      </x:c>
      <x:c r="G80" s="12" t="str">
        <x:f>IF(F80="Eligible",IF(OR(C80="SIBAU-BEEE",C80="SIBAU-BECSE"),"Meets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80" s="22" t="n">
        <x:f>IFERROR(SUMPRODUCT(Student_Test_Profiles!$F$7:$N$7,Program_Master!$I$10:$Q$10)/SUMPRODUCT(--(Student_Test_Profiles!$F$7:$N$7&lt;&gt;""),Program_Master!$I$10:$Q$10),"")</x:f>
        <x:v>65.73684210526316</x:v>
      </x:c>
      <x:c r="I80" s="22" t="n">
        <x:f>SUMPRODUCT(Student_Test_Profiles!$O$7:$Y$7,Program_Master!$X$10:$AH$10)/100</x:f>
        <x:v>47</x:v>
      </x:c>
      <x:c r="J80" s="22" t="n">
        <x:f>SUMPRODUCT(Student_Test_Profiles!$Z$7:$AE$7,Program_Master!$R$10:$W$10)/100</x:f>
        <x:v>59.7</x:v>
      </x:c>
      <x:c r="K80" s="22" t="n">
        <x:f>IF(F80="Eligible",H80*0.5+I80*0.3+J80*0.2,"")</x:f>
        <x:v>58.90842105263158</x:v>
      </x:c>
      <x:c r="L80" s="22" t="n">
        <x:f>IF(F80&lt;&gt;"Eligible","",1+COUNTIFS($F$72:$F$85,"Eligible",$K$72:$K$85,"&gt;"&amp;K80))</x:f>
        <x:v>2</x:v>
      </x:c>
      <x:c r="M80" s="22" t="str">
        <x:f>IF(K80="","",IF(K80&gt;=85,"Excellent Match",IF(K80&gt;=75,"Strong Match",IF(K80&gt;=65,"Good Match",IF(K80&gt;=55,"Moderate Match","Weak Match")))))</x:f>
        <x:v>Moderate Match</x:v>
      </x:c>
      <x:c r="N80" s="12" t="str">
        <x:v>No dominant pattern; recommendation confidence should remain low.</x:v>
      </x:c>
    </x:row>
    <x:row r="81">
      <x:c r="A81" s="12" t="str">
        <x:f>Student_Test_Profiles!A7</x:f>
        <x:v>TEST-F</x:v>
      </x:c>
      <x:c r="B81" s="12" t="str">
        <x:f>Student_Test_Profiles!B7</x:f>
        <x:v>Broad but Weakly Differentiated Student</x:v>
      </x:c>
      <x:c r="C81" s="12" t="str">
        <x:f>Program_Master!A11</x:f>
        <x:v>SIBAU-BSPESS</x:v>
      </x:c>
      <x:c r="D81" s="12" t="str">
        <x:f>Program_Master!B11</x:f>
        <x:v>BS Physical Education &amp; Sports Sciences</x:v>
      </x:c>
      <x:c r="E81" s="12" t="str">
        <x:f>Program_Master!C11</x:f>
        <x:v>Sports &amp; Health</x:v>
      </x:c>
      <x:c r="F81" s="12" t="str">
        <x:f>IF(Student_Test_Profiles!$AF$7&lt;Program_Master!$H$11,"Not Eligible",IF(C81="SIBAU-BEEE",IF(AND(Student_Test_Profiles!$C$7="Pre-Engineering",Student_Test_Profiles!$F$7&gt;=Program_Master!$G$11,Student_Test_Profiles!$G$7&gt;=Program_Master!$G$11),"Eligible","Not Eligible"),IF(C81="SIBAU-BECSE",IF(AND(OR(Student_Test_Profiles!$C$7="Pre-Engineering",Student_Test_Profiles!$C$7="ICS"),Student_Test_Profiles!$F$7&gt;=Program_Master!$G$11,OR(Student_Test_Profiles!$G$7&gt;=Program_Master!$G$11,Student_Test_Profiles!$H$7&gt;=Program_Master!$G$11)),"Eligible","Not Eligible"),"Eligible")))</x:f>
        <x:v>Eligible</x:v>
      </x:c>
      <x:c r="G81" s="12" t="str">
        <x:f>IF(F81="Eligible",IF(OR(C81="SIBAU-BEEE",C81="SIBAU-BECSE"),"Meets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81" s="22" t="n">
        <x:f>IFERROR(SUMPRODUCT(Student_Test_Profiles!$F$7:$N$7,Program_Master!$I$11:$Q$11)/SUMPRODUCT(--(Student_Test_Profiles!$F$7:$N$7&lt;&gt;""),Program_Master!$I$11:$Q$11),"")</x:f>
        <x:v>65.46153846153847</x:v>
      </x:c>
      <x:c r="I81" s="22" t="n">
        <x:f>SUMPRODUCT(Student_Test_Profiles!$O$7:$Y$7,Program_Master!$X$11:$AH$11)/100</x:f>
        <x:v>43</x:v>
      </x:c>
      <x:c r="J81" s="22" t="n">
        <x:f>SUMPRODUCT(Student_Test_Profiles!$Z$7:$AE$7,Program_Master!$R$11:$W$11)/100</x:f>
        <x:v>55.55</x:v>
      </x:c>
      <x:c r="K81" s="22" t="n">
        <x:f>IF(F81="Eligible",H81*0.5+I81*0.3+J81*0.2,"")</x:f>
        <x:v>56.74076923076923</x:v>
      </x:c>
      <x:c r="L81" s="22" t="n">
        <x:f>IF(F81&lt;&gt;"Eligible","",1+COUNTIFS($F$72:$F$85,"Eligible",$K$72:$K$85,"&gt;"&amp;K81))</x:f>
        <x:v>4</x:v>
      </x:c>
      <x:c r="M81" s="22" t="str">
        <x:f>IF(K81="","",IF(K81&gt;=85,"Excellent Match",IF(K81&gt;=75,"Strong Match",IF(K81&gt;=65,"Good Match",IF(K81&gt;=55,"Moderate Match","Weak Match")))))</x:f>
        <x:v>Moderate Match</x:v>
      </x:c>
      <x:c r="N81" s="12" t="str">
        <x:v>No dominant pattern; recommendation confidence should remain low.</x:v>
      </x:c>
    </x:row>
    <x:row r="82">
      <x:c r="A82" s="12" t="str">
        <x:f>Student_Test_Profiles!A7</x:f>
        <x:v>TEST-F</x:v>
      </x:c>
      <x:c r="B82" s="12" t="str">
        <x:f>Student_Test_Profiles!B7</x:f>
        <x:v>Broad but Weakly Differentiated Student</x:v>
      </x:c>
      <x:c r="C82" s="12" t="str">
        <x:f>Program_Master!A12</x:f>
        <x:v>SIBAU-ADPESS</x:v>
      </x:c>
      <x:c r="D82" s="12" t="str">
        <x:f>Program_Master!B12</x:f>
        <x:v>Associate Degree in Physical Education &amp; Sports Sciences</x:v>
      </x:c>
      <x:c r="E82" s="12" t="str">
        <x:f>Program_Master!C12</x:f>
        <x:v>Sports &amp; Health</x:v>
      </x:c>
      <x:c r="F82" s="12" t="str">
        <x:f>IF(Student_Test_Profiles!$AF$7&lt;Program_Master!$H$12,"Not Eligible",IF(C82="SIBAU-BEEE",IF(AND(Student_Test_Profiles!$C$7="Pre-Engineering",Student_Test_Profiles!$F$7&gt;=Program_Master!$G$12,Student_Test_Profiles!$G$7&gt;=Program_Master!$G$12),"Eligible","Not Eligible"),IF(C82="SIBAU-BECSE",IF(AND(OR(Student_Test_Profiles!$C$7="Pre-Engineering",Student_Test_Profiles!$C$7="ICS"),Student_Test_Profiles!$F$7&gt;=Program_Master!$G$12,OR(Student_Test_Profiles!$G$7&gt;=Program_Master!$G$12,Student_Test_Profiles!$H$7&gt;=Program_Master!$G$12)),"Eligible","Not Eligible"),"Eligible")))</x:f>
        <x:v>Eligible</x:v>
      </x:c>
      <x:c r="G82" s="12" t="str">
        <x:f>IF(F82="Eligible",IF(OR(C82="SIBAU-BEEE",C82="SIBAU-BECSE"),"Meets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82" s="22" t="n">
        <x:f>IFERROR(SUMPRODUCT(Student_Test_Profiles!$F$7:$N$7,Program_Master!$I$12:$Q$12)/SUMPRODUCT(--(Student_Test_Profiles!$F$7:$N$7&lt;&gt;""),Program_Master!$I$12:$Q$12),"")</x:f>
        <x:v>65.46153846153847</x:v>
      </x:c>
      <x:c r="I82" s="22" t="n">
        <x:f>SUMPRODUCT(Student_Test_Profiles!$O$7:$Y$7,Program_Master!$X$12:$AH$12)/100</x:f>
        <x:v>43</x:v>
      </x:c>
      <x:c r="J82" s="22" t="n">
        <x:f>SUMPRODUCT(Student_Test_Profiles!$Z$7:$AE$7,Program_Master!$R$12:$W$12)/100</x:f>
        <x:v>55.55</x:v>
      </x:c>
      <x:c r="K82" s="22" t="n">
        <x:f>IF(F82="Eligible",H82*0.5+I82*0.3+J82*0.2,"")</x:f>
        <x:v>56.74076923076923</x:v>
      </x:c>
      <x:c r="L82" s="22" t="n">
        <x:f>IF(F82&lt;&gt;"Eligible","",1+COUNTIFS($F$72:$F$85,"Eligible",$K$72:$K$85,"&gt;"&amp;K82))</x:f>
        <x:v>4</x:v>
      </x:c>
      <x:c r="M82" s="22" t="str">
        <x:f>IF(K82="","",IF(K82&gt;=85,"Excellent Match",IF(K82&gt;=75,"Strong Match",IF(K82&gt;=65,"Good Match",IF(K82&gt;=55,"Moderate Match","Weak Match")))))</x:f>
        <x:v>Moderate Match</x:v>
      </x:c>
      <x:c r="N82" s="12" t="str">
        <x:v>No dominant pattern; recommendation confidence should remain low.</x:v>
      </x:c>
    </x:row>
    <x:row r="83">
      <x:c r="A83" s="12" t="str">
        <x:f>Student_Test_Profiles!A7</x:f>
        <x:v>TEST-F</x:v>
      </x:c>
      <x:c r="B83" s="12" t="str">
        <x:f>Student_Test_Profiles!B7</x:f>
        <x:v>Broad but Weakly Differentiated Student</x:v>
      </x:c>
      <x:c r="C83" s="12" t="str">
        <x:f>Program_Master!A13</x:f>
        <x:v>SIBAU-BEEE</x:v>
      </x:c>
      <x:c r="D83" s="12" t="str">
        <x:f>Program_Master!B13</x:f>
        <x:v>BE Electrical Engineering</x:v>
      </x:c>
      <x:c r="E83" s="12" t="str">
        <x:f>Program_Master!C13</x:f>
        <x:v>Engineering</x:v>
      </x:c>
      <x:c r="F83" s="12" t="str">
        <x:f>IF(Student_Test_Profiles!$AF$7&lt;Program_Master!$H$13,"Not Eligible",IF(C83="SIBAU-BEEE",IF(AND(Student_Test_Profiles!$C$7="Pre-Engineering",Student_Test_Profiles!$F$7&gt;=Program_Master!$G$13,Student_Test_Profiles!$G$7&gt;=Program_Master!$G$13),"Eligible","Not Eligible"),IF(C83="SIBAU-BECSE",IF(AND(OR(Student_Test_Profiles!$C$7="Pre-Engineering",Student_Test_Profiles!$C$7="ICS"),Student_Test_Profiles!$F$7&gt;=Program_Master!$G$13,OR(Student_Test_Profiles!$G$7&gt;=Program_Master!$G$13,Student_Test_Profiles!$H$7&gt;=Program_Master!$G$13)),"Eligible","Not Eligible"),"Eligible")))</x:f>
        <x:v>Not Eligible</x:v>
      </x:c>
      <x:c r="G83" s="12" t="str">
        <x:f>IF(F83="Eligible",IF(OR(C83="SIBAU-BEEE",C83="SIBAU-BECSE"),"Meets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83" s="22" t="n">
        <x:f>IFERROR(SUMPRODUCT(Student_Test_Profiles!$F$7:$N$7,Program_Master!$I$13:$Q$13)/SUMPRODUCT(--(Student_Test_Profiles!$F$7:$N$7&lt;&gt;""),Program_Master!$I$13:$Q$13),"")</x:f>
        <x:v>68</x:v>
      </x:c>
      <x:c r="I83" s="22" t="n">
        <x:f>SUMPRODUCT(Student_Test_Profiles!$O$7:$Y$7,Program_Master!$X$13:$AH$13)/100</x:f>
        <x:v>34.5</x:v>
      </x:c>
      <x:c r="J83" s="22" t="n">
        <x:f>SUMPRODUCT(Student_Test_Profiles!$Z$7:$AE$7,Program_Master!$R$13:$W$13)/100</x:f>
        <x:v>46.05</x:v>
      </x:c>
      <x:c r="K83" s="22" t="str">
        <x:f>IF(F83="Eligible",H83*0.5+I83*0.3+J83*0.2,"")</x:f>
      </x:c>
      <x:c r="L83" s="22" t="str">
        <x:f>IF(F83&lt;&gt;"Eligible","",1+COUNTIFS($F$72:$F$85,"Eligible",$K$72:$K$85,"&gt;"&amp;K83))</x:f>
      </x:c>
      <x:c r="M83" s="22" t="str">
        <x:f>IF(K83="","",IF(K83&gt;=85,"Excellent Match",IF(K83&gt;=75,"Strong Match",IF(K83&gt;=65,"Good Match",IF(K83&gt;=55,"Moderate Match","Weak Match")))))</x:f>
      </x:c>
      <x:c r="N83" s="12" t="str">
        <x:v>No dominant pattern; recommendation confidence should remain low.</x:v>
      </x:c>
    </x:row>
    <x:row r="84">
      <x:c r="A84" s="12" t="str">
        <x:f>Student_Test_Profiles!A7</x:f>
        <x:v>TEST-F</x:v>
      </x:c>
      <x:c r="B84" s="12" t="str">
        <x:f>Student_Test_Profiles!B7</x:f>
        <x:v>Broad but Weakly Differentiated Student</x:v>
      </x:c>
      <x:c r="C84" s="12" t="str">
        <x:f>Program_Master!A14</x:f>
        <x:v>SIBAU-BECSE</x:v>
      </x:c>
      <x:c r="D84" s="12" t="str">
        <x:f>Program_Master!B14</x:f>
        <x:v>BE Computer Systems Engineering</x:v>
      </x:c>
      <x:c r="E84" s="12" t="str">
        <x:f>Program_Master!C14</x:f>
        <x:v>Engineering &amp; Computing</x:v>
      </x:c>
      <x:c r="F84" s="12" t="str">
        <x:f>IF(Student_Test_Profiles!$AF$7&lt;Program_Master!$H$14,"Not Eligible",IF(C84="SIBAU-BEEE",IF(AND(Student_Test_Profiles!$C$7="Pre-Engineering",Student_Test_Profiles!$F$7&gt;=Program_Master!$G$14,Student_Test_Profiles!$G$7&gt;=Program_Master!$G$14),"Eligible","Not Eligible"),IF(C84="SIBAU-BECSE",IF(AND(OR(Student_Test_Profiles!$C$7="Pre-Engineering",Student_Test_Profiles!$C$7="ICS"),Student_Test_Profiles!$F$7&gt;=Program_Master!$G$14,OR(Student_Test_Profiles!$G$7&gt;=Program_Master!$G$14,Student_Test_Profiles!$H$7&gt;=Program_Master!$G$14)),"Eligible","Not Eligible"),"Eligible")))</x:f>
        <x:v>Not Eligible</x:v>
      </x:c>
      <x:c r="G84" s="12" t="str">
        <x:f>IF(F84="Eligible",IF(OR(C84="SIBAU-BEEE",C84="SIBAU-BECSE"),"Meets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Does not meet the restricted engineering group, overall percentage, or subject requirements.</x:v>
      </x:c>
      <x:c r="H84" s="22" t="n">
        <x:f>IFERROR(SUMPRODUCT(Student_Test_Profiles!$F$7:$N$7,Program_Master!$I$14:$Q$14)/SUMPRODUCT(--(Student_Test_Profiles!$F$7:$N$7&lt;&gt;""),Program_Master!$I$14:$Q$14),"")</x:f>
        <x:v>66.5</x:v>
      </x:c>
      <x:c r="I84" s="22" t="n">
        <x:f>SUMPRODUCT(Student_Test_Profiles!$O$7:$Y$7,Program_Master!$X$14:$AH$14)/100</x:f>
        <x:v>36.75</x:v>
      </x:c>
      <x:c r="J84" s="22" t="n">
        <x:f>SUMPRODUCT(Student_Test_Profiles!$Z$7:$AE$7,Program_Master!$R$14:$W$14)/100</x:f>
        <x:v>46.45</x:v>
      </x:c>
      <x:c r="K84" s="22" t="str">
        <x:f>IF(F84="Eligible",H84*0.5+I84*0.3+J84*0.2,"")</x:f>
      </x:c>
      <x:c r="L84" s="22" t="str">
        <x:f>IF(F84&lt;&gt;"Eligible","",1+COUNTIFS($F$72:$F$85,"Eligible",$K$72:$K$85,"&gt;"&amp;K84))</x:f>
      </x:c>
      <x:c r="M84" s="22" t="str">
        <x:f>IF(K84="","",IF(K84&gt;=85,"Excellent Match",IF(K84&gt;=75,"Strong Match",IF(K84&gt;=65,"Good Match",IF(K84&gt;=55,"Moderate Match","Weak Match")))))</x:f>
      </x:c>
      <x:c r="N84" s="12" t="str">
        <x:v>No dominant pattern; recommendation confidence should remain low.</x:v>
      </x:c>
    </x:row>
    <x:row r="85">
      <x:c r="A85" s="12" t="str">
        <x:f>Student_Test_Profiles!A7</x:f>
        <x:v>TEST-F</x:v>
      </x:c>
      <x:c r="B85" s="12" t="str">
        <x:f>Student_Test_Profiles!B7</x:f>
        <x:v>Broad but Weakly Differentiated Student</x:v>
      </x:c>
      <x:c r="C85" s="12" t="str">
        <x:f>Program_Master!A15</x:f>
        <x:v>SIBAU-BEDH</x:v>
      </x:c>
      <x:c r="D85" s="12" t="str">
        <x:f>Program_Master!B15</x:f>
        <x:v>B.Ed (Hons)</x:v>
      </x:c>
      <x:c r="E85" s="12" t="str">
        <x:f>Program_Master!C15</x:f>
        <x:v>Education</x:v>
      </x:c>
      <x:c r="F85" s="12" t="str">
        <x:f>IF(Student_Test_Profiles!$AF$7&lt;Program_Master!$H$15,"Not Eligible",IF(C85="SIBAU-BEEE",IF(AND(Student_Test_Profiles!$C$7="Pre-Engineering",Student_Test_Profiles!$F$7&gt;=Program_Master!$G$15,Student_Test_Profiles!$G$7&gt;=Program_Master!$G$15),"Eligible","Not Eligible"),IF(C85="SIBAU-BECSE",IF(AND(OR(Student_Test_Profiles!$C$7="Pre-Engineering",Student_Test_Profiles!$C$7="ICS"),Student_Test_Profiles!$F$7&gt;=Program_Master!$G$15,OR(Student_Test_Profiles!$G$7&gt;=Program_Master!$G$15,Student_Test_Profiles!$H$7&gt;=Program_Master!$G$15)),"Eligible","Not Eligible"),"Eligible")))</x:f>
        <x:v>Eligible</x:v>
      </x:c>
      <x:c r="G85" s="12" t="str">
        <x:f>IF(F85="Eligible",IF(OR(C85="SIBAU-BEEE",C85="SIBAU-BECSE"),"Meets the restricted engineering eligibility rules.","Meets the working SIBAU rule: all Intermediate groups, including Pre-Medical, are eligible."),"Does not meet the restricted engineering group, overall percentage, or subject requirements.")</x:f>
        <x:v>Meets the working SIBAU rule: all Intermediate groups, including Pre-Medical, are eligible.</x:v>
      </x:c>
      <x:c r="H85" s="22" t="n">
        <x:f>IFERROR(SUMPRODUCT(Student_Test_Profiles!$F$7:$N$7,Program_Master!$I$15:$Q$15)/SUMPRODUCT(--(Student_Test_Profiles!$F$7:$N$7&lt;&gt;""),Program_Master!$I$15:$Q$15),"")</x:f>
        <x:v>65.83333333333333</x:v>
      </x:c>
      <x:c r="I85" s="22" t="n">
        <x:f>SUMPRODUCT(Student_Test_Profiles!$O$7:$Y$7,Program_Master!$X$15:$AH$15)/100</x:f>
        <x:v>50</x:v>
      </x:c>
      <x:c r="J85" s="22" t="n">
        <x:f>SUMPRODUCT(Student_Test_Profiles!$Z$7:$AE$7,Program_Master!$R$15:$W$15)/100</x:f>
        <x:v>58.6</x:v>
      </x:c>
      <x:c r="K85" s="22" t="n">
        <x:f>IF(F85="Eligible",H85*0.5+I85*0.3+J85*0.2,"")</x:f>
        <x:v>59.63666666666666</x:v>
      </x:c>
      <x:c r="L85" s="22" t="n">
        <x:f>IF(F85&lt;&gt;"Eligible","",1+COUNTIFS($F$72:$F$85,"Eligible",$K$72:$K$85,"&gt;"&amp;K85))</x:f>
        <x:v>1</x:v>
      </x:c>
      <x:c r="M85" s="22" t="str">
        <x:f>IF(K85="","",IF(K85&gt;=85,"Excellent Match",IF(K85&gt;=75,"Strong Match",IF(K85&gt;=65,"Good Match",IF(K85&gt;=55,"Moderate Match","Weak Match")))))</x:f>
        <x:v>Moderate Match</x:v>
      </x:c>
      <x:c r="N85" s="12" t="str">
        <x:v>No dominant pattern; recommendation confidence should remain low.</x:v>
      </x:c>
    </x:row>
  </x:sheetData>
  <x:conditionalFormatting sqref="F2:F85">
    <x:cfRule type="expression" dxfId="2" priority="1">
      <x:formula>F2="Eligible"</x:formula>
    </x:cfRule>
    <x:cfRule type="expression" dxfId="3" priority="2">
      <x:formula>F2="Verification Required"</x:formula>
    </x:cfRule>
    <x:cfRule type="expression" dxfId="4" priority="3">
      <x:formula>F2="Not Eligible"</x:formula>
    </x:cfRule>
  </x:conditionalFormatting>
  <x:conditionalFormatting sqref="K2:K85">
    <x:cfRule type="colorScale" priority="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35cca15924454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48" hidden="0" customWidth="1"/>
    <x:col min="3" max="3" width="48" hidden="0" customWidth="1"/>
    <x:col min="4" max="4" width="48" hidden="0" customWidth="1"/>
    <x:col min="5" max="5" width="20" hidden="0" customWidth="1"/>
    <x:col min="6" max="6" width="35" hidden="0" customWidth="1"/>
  </x:cols>
  <x:sheetData>
    <x:row r="1">
      <x:c r="A1" s="21" t="str">
        <x:v>Test ID</x:v>
      </x:c>
      <x:c r="B1" s="21" t="str">
        <x:v>Expected Top Cluster / Behaviour</x:v>
      </x:c>
      <x:c r="C1" s="21" t="str">
        <x:v>Must-Pass Conditions</x:v>
      </x:c>
      <x:c r="D1" s="21" t="str">
        <x:v>Institutional Fit Message</x:v>
      </x:c>
      <x:c r="E1" s="21" t="str">
        <x:v>Manual Review Status</x:v>
      </x:c>
      <x:c r="F1" s="21" t="str">
        <x:v>Reviewer Notes</x:v>
      </x:c>
    </x:row>
    <x:row r="2">
      <x:c r="A2" s="12" t="str">
        <x:v>TEST-A</x:v>
      </x:c>
      <x:c r="B2" s="12" t="str">
        <x:v>BS Computer Science; BS Software Engineering; BS Artificial Intelligence; BE Computer Systems Engineering</x:v>
      </x:c>
      <x:c r="C2" s="12" t="str">
        <x:v>At least three computing programs should appear in the top five eligible results.</x:v>
      </x:c>
      <x:c r="D2" s="12" t="str">
        <x:v>No special warning required.</x:v>
      </x:c>
      <x:c r="E2" s="12" t="str">
        <x:v>Pending</x:v>
      </x:c>
      <x:c r="F2" s="12" t="str"/>
    </x:row>
    <x:row r="3">
      <x:c r="A3" s="12" t="str">
        <x:v>TEST-B</x:v>
      </x:c>
      <x:c r="B3" s="12" t="str">
        <x:v>BS Physical Education &amp; Sports Sciences; AD Physical Education; B.Ed; and other non-engineering programs as alternatives</x:v>
      </x:c>
      <x:c r="C3" s="12" t="str">
        <x:v>All non-engineering SIBAU programs must remain eligible for the Pre-Medical profile. BE Electrical Engineering and BE Computer Systems Engineering must be Not Eligible.</x:v>
      </x:c>
      <x:c r="D3" s="12" t="str">
        <x:v>Strong biology/health profile, but SIBAU does not offer clinical programs; recommendations should be presented as available SIBAU alternatives.</x:v>
      </x:c>
      <x:c r="E3" s="12" t="str">
        <x:v>Pending</x:v>
      </x:c>
      <x:c r="F3" s="12" t="str"/>
    </x:row>
    <x:row r="4">
      <x:c r="A4" s="12" t="str">
        <x:v>TEST-C</x:v>
      </x:c>
      <x:c r="B4" s="12" t="str">
        <x:v>BS Accounting &amp; Finance; BS Economics; BBA; BBA Agribusiness</x:v>
      </x:c>
      <x:c r="C4" s="12" t="str">
        <x:v>Accounting &amp; Finance, Economics and BBA should be in the top four.</x:v>
      </x:c>
      <x:c r="D4" s="12" t="str">
        <x:v>No special warning required.</x:v>
      </x:c>
      <x:c r="E4" s="12" t="str">
        <x:v>Pending</x:v>
      </x:c>
      <x:c r="F4" s="12" t="str"/>
    </x:row>
    <x:row r="5">
      <x:c r="A5" s="12" t="str">
        <x:v>TEST-D</x:v>
      </x:c>
      <x:c r="B5" s="12" t="str">
        <x:v>BE Electrical Engineering; BE Computer Systems Engineering; BS Mathematics</x:v>
      </x:c>
      <x:c r="C5" s="12" t="str">
        <x:v>Engineering programs must be eligible only if group and minimum subject/overall thresholds are met.</x:v>
      </x:c>
      <x:c r="D5" s="12" t="str">
        <x:v>No special warning required.</x:v>
      </x:c>
      <x:c r="E5" s="12" t="str">
        <x:v>Pending</x:v>
      </x:c>
      <x:c r="F5" s="12" t="str"/>
    </x:row>
    <x:row r="6">
      <x:c r="A6" s="12" t="str">
        <x:v>TEST-E</x:v>
      </x:c>
      <x:c r="B6" s="12" t="str">
        <x:v>BS Computer Science; BS Software Engineering; BS Artificial Intelligence should be eligible and may rank highly</x:v>
      </x:c>
      <x:c r="C6" s="12" t="str">
        <x:v>Pre-Medical status or missing Mathematics must not make CS, SE, AI, Mathematics or other non-engineering programs ineligible. Only BE Electrical Engineering and BE Computer Systems Engineering should be Not Eligible.</x:v>
      </x:c>
      <x:c r="D6" s="12" t="str">
        <x:v>Pre-Medical students are eligible for all non-engineering SIBAU degree programs under the working rule.</x:v>
      </x:c>
      <x:c r="E6" s="12" t="str">
        <x:v>Pending</x:v>
      </x:c>
      <x:c r="F6" s="12" t="str"/>
    </x:row>
    <x:row r="7">
      <x:c r="A7" s="12" t="str">
        <x:v>TEST-F</x:v>
      </x:c>
      <x:c r="B7" s="12" t="str">
        <x:v>Moderate general options with no exaggerated claim.</x:v>
      </x:c>
      <x:c r="C7" s="12" t="str">
        <x:v>Result should show low confidence and avoid calling any program an excellent fit unless the calculated score supports it.</x:v>
      </x:c>
      <x:c r="D7" s="12" t="str">
        <x:v>No dominant academic-interest-aptitude pattern.</x:v>
      </x:c>
      <x:c r="E7" s="12" t="str">
        <x:v>Pending</x:v>
      </x:c>
      <x:c r="F7" s="12" t="str"/>
    </x:row>
  </x:sheetData>
  <x:conditionalFormatting sqref="E2:E7">
    <x:cfRule type="expression" dxfId="5" priority="1">
      <x:formula>E2="Pass"</x:formula>
    </x:cfRule>
    <x:cfRule type="expression" dxfId="6" priority="2">
      <x:formula>E2="Fail"</x:formula>
    </x:cfRule>
    <x:cfRule type="expression" dxfId="7" priority="3">
      <x:formula>E2="Needs Adjustment"</x:formula>
    </x:cfRule>
  </x:conditionalFormatting>
  <x:dataValidations count="1">
    <x:dataValidation type="list" sqref="E2:E7">
      <x:formula1>"Pending,Pass,Fail,Needs Adjustment"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b9d3588e4a44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32" hidden="0" customWidth="1"/>
    <x:col min="3" max="3" width="34" hidden="0" customWidth="1"/>
    <x:col min="4" max="4" width="7.880000114440918" hidden="0" customWidth="1"/>
    <x:col min="5" max="5" width="13.130000114440918" hidden="0" customWidth="1"/>
    <x:col min="6" max="6" width="17.8799991607666" hidden="0" customWidth="1"/>
    <x:col min="7" max="7" width="14.25" hidden="0" customWidth="1"/>
    <x:col min="8" max="8" width="38" hidden="0" customWidth="1"/>
  </x:cols>
  <x:sheetData>
    <x:row r="1">
      <x:c r="A1" s="26" t="str">
        <x:v>Recommendation Logic — Spreadsheet Test Dashboard</x:v>
      </x:c>
      <x:c r="B1" s="26"/>
      <x:c r="C1" s="26"/>
      <x:c r="D1" s="26"/>
      <x:c r="E1" s="26"/>
      <x:c r="F1" s="26"/>
      <x:c r="G1" s="26"/>
      <x:c r="H1" s="26"/>
    </x:row>
    <x:row r="3">
      <x:c r="A3" s="21" t="str">
        <x:v>Test ID</x:v>
      </x:c>
      <x:c r="B3" s="21" t="str">
        <x:v>Profile</x:v>
      </x:c>
      <x:c r="C3" s="21" t="str">
        <x:v>Top Eligible Program</x:v>
      </x:c>
      <x:c r="D3" s="21" t="str">
        <x:v>Top Score</x:v>
      </x:c>
      <x:c r="E3" s="21" t="str">
        <x:v>Top Rank Band</x:v>
      </x:c>
      <x:c r="F3" s="21" t="str">
        <x:v>Eligible Program Count</x:v>
      </x:c>
      <x:c r="G3" s="21" t="str">
        <x:v>Restricted/Not Eligible Count</x:v>
      </x:c>
      <x:c r="H3" s="21" t="str">
        <x:v>Institutional Fit</x:v>
      </x:c>
    </x:row>
    <x:row r="4">
      <x:c r="A4" s="12" t="str">
        <x:f>Student_Test_Profiles!A2</x:f>
        <x:v>TEST-A</x:v>
      </x:c>
      <x:c r="B4" s="12" t="str">
        <x:f>Student_Test_Profiles!B2</x:f>
        <x:v>Strong Computing Student</x:v>
      </x:c>
      <x:c r="C4" s="12" t="str">
        <x:f>IFERROR(INDEX(Recommendation_Test!$D$2:$D$15,MATCH(1,Recommendation_Test!$L$2:$L$15,0)),"No Eligible Program")</x:f>
        <x:v>BS Artificial Intelligence</x:v>
      </x:c>
      <x:c r="D4" s="22" t="n">
        <x:f>IFERROR(MAXIFS(Recommendation_Test!$K$2:$K$15,Recommendation_Test!$F$2:$F$15,"Eligible"),"")</x:f>
        <x:v>84.70078947368421</x:v>
      </x:c>
      <x:c r="E4" s="12" t="str">
        <x:f>IF(D4="","",IF(D4&gt;=85,"Excellent Match",IF(D4&gt;=75,"Strong Match",IF(D4&gt;=65,"Good Match",IF(D4&gt;=55,"Moderate Match","Weak Match")))))</x:f>
        <x:v>Strong Match</x:v>
      </x:c>
      <x:c r="F4" s="12" t="n">
        <x:f>COUNTIF(Recommendation_Test!$F$2:$F$15,"Eligible")</x:f>
        <x:v>13</x:v>
      </x:c>
      <x:c r="G4" s="12" t="n">
        <x:f>COUNTIF(Recommendation_Test!$F$2:$F$15,"Not Eligible")</x:f>
        <x:v>1</x:v>
      </x:c>
      <x:c r="H4" s="12" t="str">
        <x:f>IF(A4="TEST-B","Poor — closest SIBAU alternatives only",IF(A4="TEST-E","Eligibility verification required",IF(A4="TEST-F","Low-confidence profile",IF(D4&gt;=70,"Good institutional fit","Moderate institutional fit"))))</x:f>
        <x:v>Good institutional fit</x:v>
      </x:c>
    </x:row>
    <x:row r="5">
      <x:c r="A5" s="12" t="str">
        <x:f>Student_Test_Profiles!A3</x:f>
        <x:v>TEST-B</x:v>
      </x:c>
      <x:c r="B5" s="12" t="str">
        <x:f>Student_Test_Profiles!B3</x:f>
        <x:v>Biology and Health-Oriented Student</x:v>
      </x:c>
      <x:c r="C5" s="12" t="str">
        <x:f>IFERROR(INDEX(Recommendation_Test!$D$16:$D$29,MATCH(1,Recommendation_Test!$L$16:$L$29,0)),"No Eligible Program")</x:f>
        <x:v>BS Physical Education &amp; Sports Sciences</x:v>
      </x:c>
      <x:c r="D5" s="22" t="n">
        <x:f>IFERROR(MAXIFS(Recommendation_Test!$K$16:$K$29,Recommendation_Test!$F$16:$F$29,"Eligible"),"")</x:f>
        <x:v>71.61368421052632</x:v>
      </x:c>
      <x:c r="E5" s="12" t="str">
        <x:f>IF(D5="","",IF(D5&gt;=85,"Excellent Match",IF(D5&gt;=75,"Strong Match",IF(D5&gt;=65,"Good Match",IF(D5&gt;=55,"Moderate Match","Weak Match")))))</x:f>
        <x:v>Good Match</x:v>
      </x:c>
      <x:c r="F5" s="12" t="n">
        <x:f>COUNTIF(Recommendation_Test!$F$16:$F$29,"Eligible")</x:f>
        <x:v>12</x:v>
      </x:c>
      <x:c r="G5" s="12" t="n">
        <x:f>COUNTIF(Recommendation_Test!$F$16:$F$29,"Not Eligible")</x:f>
        <x:v>2</x:v>
      </x:c>
      <x:c r="H5" s="12" t="str">
        <x:v>Poor clinical fit — non-engineering SIBAU alternatives only</x:v>
      </x:c>
    </x:row>
    <x:row r="6">
      <x:c r="A6" s="12" t="str">
        <x:f>Student_Test_Profiles!A4</x:f>
        <x:v>TEST-C</x:v>
      </x:c>
      <x:c r="B6" s="12" t="str">
        <x:f>Student_Test_Profiles!B4</x:f>
        <x:v>Commerce and Finance Student</x:v>
      </x:c>
      <x:c r="C6" s="12" t="str">
        <x:f>IFERROR(INDEX(Recommendation_Test!$D$30:$D$43,MATCH(1,Recommendation_Test!$L$30:$L$43,0)),"No Eligible Program")</x:f>
        <x:v>BS Accounting &amp; Finance</x:v>
      </x:c>
      <x:c r="D6" s="22" t="n">
        <x:f>IFERROR(MAXIFS(Recommendation_Test!$K$30:$K$43,Recommendation_Test!$F$30:$F$43,"Eligible"),"")</x:f>
        <x:v>81.33500000000001</x:v>
      </x:c>
      <x:c r="E6" s="12" t="str">
        <x:f>IF(D6="","",IF(D6&gt;=85,"Excellent Match",IF(D6&gt;=75,"Strong Match",IF(D6&gt;=65,"Good Match",IF(D6&gt;=55,"Moderate Match","Weak Match")))))</x:f>
        <x:v>Strong Match</x:v>
      </x:c>
      <x:c r="F6" s="12" t="n">
        <x:f>COUNTIF(Recommendation_Test!$F$30:$F$43,"Eligible")</x:f>
        <x:v>12</x:v>
      </x:c>
      <x:c r="G6" s="12" t="n">
        <x:f>COUNTIF(Recommendation_Test!$F$30:$F$43,"Not Eligible")</x:f>
        <x:v>2</x:v>
      </x:c>
      <x:c r="H6" s="12" t="str">
        <x:f>IF(A6="TEST-B","Poor — closest SIBAU alternatives only",IF(A6="TEST-E","Eligibility verification required",IF(A6="TEST-F","Low-confidence profile",IF(D6&gt;=70,"Good institutional fit","Moderate institutional fit"))))</x:f>
        <x:v>Good institutional fit</x:v>
      </x:c>
    </x:row>
    <x:row r="7">
      <x:c r="A7" s="12" t="str">
        <x:f>Student_Test_Profiles!A5</x:f>
        <x:v>TEST-D</x:v>
      </x:c>
      <x:c r="B7" s="12" t="str">
        <x:f>Student_Test_Profiles!B5</x:f>
        <x:v>Engineering and Hardware Student</x:v>
      </x:c>
      <x:c r="C7" s="12" t="str">
        <x:f>IFERROR(INDEX(Recommendation_Test!$D$44:$D$57,MATCH(1,Recommendation_Test!$L$44:$L$57,0)),"No Eligible Program")</x:f>
        <x:v>BE Electrical Engineering</x:v>
      </x:c>
      <x:c r="D7" s="22" t="n">
        <x:f>IFERROR(MAXIFS(Recommendation_Test!$K$44:$K$57,Recommendation_Test!$F$44:$F$57,"Eligible"),"")</x:f>
        <x:v>83.9</x:v>
      </x:c>
      <x:c r="E7" s="12" t="str">
        <x:f>IF(D7="","",IF(D7&gt;=85,"Excellent Match",IF(D7&gt;=75,"Strong Match",IF(D7&gt;=65,"Good Match",IF(D7&gt;=55,"Moderate Match","Weak Match")))))</x:f>
        <x:v>Strong Match</x:v>
      </x:c>
      <x:c r="F7" s="12" t="n">
        <x:f>COUNTIF(Recommendation_Test!$F$44:$F$57,"Eligible")</x:f>
        <x:v>14</x:v>
      </x:c>
      <x:c r="G7" s="12" t="n">
        <x:f>COUNTIF(Recommendation_Test!$F$44:$F$57,"Not Eligible")</x:f>
        <x:v>0</x:v>
      </x:c>
      <x:c r="H7" s="12" t="str">
        <x:f>IF(D7&gt;=70,"Good institutional fit","Moderate institutional fit")</x:f>
        <x:v>Good institutional fit</x:v>
      </x:c>
    </x:row>
    <x:row r="8">
      <x:c r="A8" s="12" t="str">
        <x:f>Student_Test_Profiles!A6</x:f>
        <x:v>TEST-E</x:v>
      </x:c>
      <x:c r="B8" s="12" t="str">
        <x:f>Student_Test_Profiles!B6</x:f>
        <x:v>Pre-Medical Student with Strong Computing Interest</x:v>
      </x:c>
      <x:c r="C8" s="12" t="str">
        <x:f>IFERROR(INDEX(Recommendation_Test!$D$58:$D$71,MATCH(1,Recommendation_Test!$L$58:$L$71,0)),"No Eligible Program")</x:f>
        <x:v>BS Computer Science</x:v>
      </x:c>
      <x:c r="D8" s="22" t="n">
        <x:f>IFERROR(MAXIFS(Recommendation_Test!$K$58:$K$71,Recommendation_Test!$F$58:$F$71,"Eligible"),"")</x:f>
        <x:v>82.96653846153846</x:v>
      </x:c>
      <x:c r="E8" s="12" t="str">
        <x:f>IF(D8="","",IF(D8&gt;=85,"Excellent Match",IF(D8&gt;=75,"Strong Match",IF(D8&gt;=65,"Good Match",IF(D8&gt;=55,"Moderate Match","Weak Match")))))</x:f>
        <x:v>Strong Match</x:v>
      </x:c>
      <x:c r="F8" s="12" t="n">
        <x:f>COUNTIF(Recommendation_Test!$F$58:$F$71,"Eligible")</x:f>
        <x:v>12</x:v>
      </x:c>
      <x:c r="G8" s="12" t="n">
        <x:f>COUNTIF(Recommendation_Test!$F$58:$F$71,"Not Eligible")</x:f>
        <x:v>2</x:v>
      </x:c>
      <x:c r="H8" s="12" t="str">
        <x:v>Eligible for BS CS, BS Software Engineering, BS AI and all other non-engineering programs</x:v>
      </x:c>
    </x:row>
    <x:row r="9">
      <x:c r="A9" s="12" t="str">
        <x:f>Student_Test_Profiles!A7</x:f>
        <x:v>TEST-F</x:v>
      </x:c>
      <x:c r="B9" s="12" t="str">
        <x:f>Student_Test_Profiles!B7</x:f>
        <x:v>Broad but Weakly Differentiated Student</x:v>
      </x:c>
      <x:c r="C9" s="12" t="str">
        <x:f>IFERROR(INDEX(Recommendation_Test!$D$72:$D$85,MATCH(1,Recommendation_Test!$L$72:$L$85,0)),"No Eligible Program")</x:f>
        <x:v>B.Ed (Hons)</x:v>
      </x:c>
      <x:c r="D9" s="22" t="n">
        <x:f>IFERROR(MAXIFS(Recommendation_Test!$K$72:$K$85,Recommendation_Test!$F$72:$F$85,"Eligible"),"")</x:f>
        <x:v>59.63666666666666</x:v>
      </x:c>
      <x:c r="E9" s="12" t="str">
        <x:f>IF(D9="","",IF(D9&gt;=85,"Excellent Match",IF(D9&gt;=75,"Strong Match",IF(D9&gt;=65,"Good Match",IF(D9&gt;=55,"Moderate Match","Weak Match")))))</x:f>
        <x:v>Moderate Match</x:v>
      </x:c>
      <x:c r="F9" s="12" t="n">
        <x:f>COUNTIF(Recommendation_Test!$F$72:$F$85,"Eligible")</x:f>
        <x:v>12</x:v>
      </x:c>
      <x:c r="G9" s="12" t="n">
        <x:f>COUNTIF(Recommendation_Test!$F$72:$F$85,"Not Eligible")</x:f>
        <x:v>2</x:v>
      </x:c>
      <x:c r="H9" s="12" t="str">
        <x:f>IF(A9="TEST-B","Poor — closest SIBAU alternatives only",IF(A9="TEST-E","Eligibility verification required",IF(A9="TEST-F","Low-confidence profile",IF(D9&gt;=70,"Good institutional fit","Moderate institutional fit"))))</x:f>
        <x:v>Low-confidence profile</x:v>
      </x:c>
    </x:row>
    <x:row r="11" ht="42" customHeight="1">
      <x:c r="A11" s="29" t="str">
        <x:v>Testing instruction: compare the calculated rankings in Recommendation_Test with Expected_Results. Mark each case Pass, Fail or Needs Adjustment before converting the logic into code.</x:v>
      </x:c>
      <x:c r="B11" s="29"/>
      <x:c r="C11" s="29"/>
      <x:c r="D11" s="29"/>
      <x:c r="E11" s="29"/>
      <x:c r="F11" s="29"/>
      <x:c r="G11" s="29"/>
      <x:c r="H11" s="29"/>
    </x:row>
  </x:sheetData>
  <x:mergeCells>
    <x:mergeCell ref="A1:H1"/>
    <x:mergeCell ref="A11:H11"/>
  </x:mergeCells>
  <x:conditionalFormatting sqref="D4:D9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</x:worksheet>
</file>